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&amp;L факт" sheetId="1" r:id="rId5"/>
    <sheet state="visible" name="Ценообразование" sheetId="2" r:id="rId6"/>
    <sheet state="visible" name="Себестоимость продукта" sheetId="3" r:id="rId7"/>
    <sheet state="visible" name="Конструктор грунта" sheetId="4" r:id="rId8"/>
    <sheet state="visible" name="Закупки" sheetId="5" r:id="rId9"/>
    <sheet state="visible" name="Чеклист закупок" sheetId="6" r:id="rId10"/>
    <sheet state="visible" name="Размеры горшков" sheetId="7" r:id="rId11"/>
  </sheets>
  <definedNames/>
  <calcPr/>
</workbook>
</file>

<file path=xl/sharedStrings.xml><?xml version="1.0" encoding="utf-8"?>
<sst xmlns="http://schemas.openxmlformats.org/spreadsheetml/2006/main" count="1050" uniqueCount="373">
  <si>
    <t>Апрель 2026</t>
  </si>
  <si>
    <t>Май 2026</t>
  </si>
  <si>
    <t>Июнь 2026</t>
  </si>
  <si>
    <t>PROFIT</t>
  </si>
  <si>
    <t>Продукт и канал продаж</t>
  </si>
  <si>
    <t>Стоимость единицы</t>
  </si>
  <si>
    <t>Количество единиц</t>
  </si>
  <si>
    <t>Сумма</t>
  </si>
  <si>
    <t>Породажи на OZON: боксы для пересадки</t>
  </si>
  <si>
    <t>Детализация</t>
  </si>
  <si>
    <t>Антуриум 1,2</t>
  </si>
  <si>
    <t>Антуриум 2,2</t>
  </si>
  <si>
    <t>Аглаонема 1,2</t>
  </si>
  <si>
    <t>Аглаонема 2,2</t>
  </si>
  <si>
    <t>Эпипремнум 1,2</t>
  </si>
  <si>
    <t>Эпипремнум 2,2</t>
  </si>
  <si>
    <t>Спатифиллум 1,2</t>
  </si>
  <si>
    <t>Спатифиллум 2,2</t>
  </si>
  <si>
    <t>Спатифиллум 3,5</t>
  </si>
  <si>
    <t>Замиакулькас 1,2</t>
  </si>
  <si>
    <t>Замиакулькас 2,2</t>
  </si>
  <si>
    <t>Замиакулькас 3,5</t>
  </si>
  <si>
    <t>Монстера 2,2</t>
  </si>
  <si>
    <t>Монстера 3,5</t>
  </si>
  <si>
    <t>Фикус 2,2</t>
  </si>
  <si>
    <t>Фикус 3,5</t>
  </si>
  <si>
    <t>LOSS</t>
  </si>
  <si>
    <t>EBT</t>
  </si>
  <si>
    <t>Статья расхода</t>
  </si>
  <si>
    <t>Количество единиц (штуки/литры)</t>
  </si>
  <si>
    <t>Продуктовые расходы</t>
  </si>
  <si>
    <t>Почвосмесь</t>
  </si>
  <si>
    <t>Торф нейтральный</t>
  </si>
  <si>
    <t xml:space="preserve">Торф кислый </t>
  </si>
  <si>
    <t xml:space="preserve">Кокосовый субстрат </t>
  </si>
  <si>
    <t xml:space="preserve">Диатомит </t>
  </si>
  <si>
    <t>Цеолит вулканический</t>
  </si>
  <si>
    <t>Мох сфагнум</t>
  </si>
  <si>
    <t xml:space="preserve">Уголь </t>
  </si>
  <si>
    <t xml:space="preserve">Биогумус </t>
  </si>
  <si>
    <t xml:space="preserve">Пеностекло </t>
  </si>
  <si>
    <t>Кора сосновая Мелкая</t>
  </si>
  <si>
    <t>Кора сосновая Крупная</t>
  </si>
  <si>
    <t>Песок кварцевый 2-5 мм</t>
  </si>
  <si>
    <t>Дренаж 10-20 мм</t>
  </si>
  <si>
    <t>Допы</t>
  </si>
  <si>
    <t>Перчатки M</t>
  </si>
  <si>
    <t>Корневин, 5г</t>
  </si>
  <si>
    <t>Упаковка</t>
  </si>
  <si>
    <t>Квадропак Ц 110+60x190</t>
  </si>
  <si>
    <t>Квадропак Ц 135+65х225</t>
  </si>
  <si>
    <t>Квадропак П 135+65х225</t>
  </si>
  <si>
    <t>Квадропак П 150+90х250</t>
  </si>
  <si>
    <t>Квадропак П 150+90х345</t>
  </si>
  <si>
    <t>Коробка 200×200×100</t>
  </si>
  <si>
    <t>Коробка 250×250×100</t>
  </si>
  <si>
    <t>Коробка 320х220х100</t>
  </si>
  <si>
    <t>Конверт</t>
  </si>
  <si>
    <t>Сотовая крафт-бумага</t>
  </si>
  <si>
    <t xml:space="preserve">Скотч-стикер круглый </t>
  </si>
  <si>
    <t>Курьерский пакет 240х320</t>
  </si>
  <si>
    <t>Курьерский пакет 300х400</t>
  </si>
  <si>
    <t>Курьерский пакет 340х460</t>
  </si>
  <si>
    <t>Стикер для штрихкода mini</t>
  </si>
  <si>
    <t>Коробка для отгрузки 600х400х400</t>
  </si>
  <si>
    <t>Стикер для штрихкода maxi</t>
  </si>
  <si>
    <t>Скотч</t>
  </si>
  <si>
    <t>Бренд</t>
  </si>
  <si>
    <t>Велком-листовка</t>
  </si>
  <si>
    <t>Мини-наклейки</t>
  </si>
  <si>
    <t>Бонд-наклейки</t>
  </si>
  <si>
    <t>Медальоны 80мм</t>
  </si>
  <si>
    <t>Медальоны 100мм</t>
  </si>
  <si>
    <t>Медальоны 120мм</t>
  </si>
  <si>
    <t>Дневник</t>
  </si>
  <si>
    <t>Логистика</t>
  </si>
  <si>
    <t>Логистика: Поставщик → Я</t>
  </si>
  <si>
    <t>Расходы маркетплейса</t>
  </si>
  <si>
    <t>Комиссия OZON, 20% от стоимости</t>
  </si>
  <si>
    <t>Эквайринг всключен в комиссию OZON</t>
  </si>
  <si>
    <t>Логистика: Я → OZON</t>
  </si>
  <si>
    <t>Логистика: внутри Ozon</t>
  </si>
  <si>
    <t>Логистика: Ozon → User, Last Mile</t>
  </si>
  <si>
    <t>Нелокальная наценка</t>
  </si>
  <si>
    <t>Маркетинговые расходы</t>
  </si>
  <si>
    <t>Ozon</t>
  </si>
  <si>
    <t>Продвижение карточки</t>
  </si>
  <si>
    <t>Операционные расходы</t>
  </si>
  <si>
    <t>Админ часть</t>
  </si>
  <si>
    <t>Оплата счета в Точке (месяц)</t>
  </si>
  <si>
    <t>Бух услуги (год)</t>
  </si>
  <si>
    <t>ЭДО (год)</t>
  </si>
  <si>
    <t>Оплата Домена (год)</t>
  </si>
  <si>
    <t>Оплата почтового адреса (год)</t>
  </si>
  <si>
    <t>Оплата ИИшки (месяц)</t>
  </si>
  <si>
    <t xml:space="preserve">Услуги юриста </t>
  </si>
  <si>
    <t xml:space="preserve">Ops часть </t>
  </si>
  <si>
    <t>Закупка инструментов хранения-сборки (3 года)</t>
  </si>
  <si>
    <t>Пробы в типографии (год)</t>
  </si>
  <si>
    <t>Тесты упаковок/материалов (год)</t>
  </si>
  <si>
    <t>Закупка ЭЦП (3 года)</t>
  </si>
  <si>
    <t>Оплата патента (10 лет)</t>
  </si>
  <si>
    <t>Закупка техники (3 года)</t>
  </si>
  <si>
    <t>Возвраты / брак</t>
  </si>
  <si>
    <t>EAT</t>
  </si>
  <si>
    <t>Взносы в Соц. фонд</t>
  </si>
  <si>
    <t>Налог УСН "Доходы минус расходы" 15%</t>
  </si>
  <si>
    <t>RE</t>
  </si>
  <si>
    <t>Дивиденты Насте</t>
  </si>
  <si>
    <t>Антуриум</t>
  </si>
  <si>
    <t>Аглаонема</t>
  </si>
  <si>
    <t>Эпипремнум</t>
  </si>
  <si>
    <t xml:space="preserve">Спатифиллум </t>
  </si>
  <si>
    <t>Замиакулькас</t>
  </si>
  <si>
    <t>Монстера</t>
  </si>
  <si>
    <t>Фикус</t>
  </si>
  <si>
    <t>1,2 литра</t>
  </si>
  <si>
    <t>Цена</t>
  </si>
  <si>
    <t>Комиссия Ozon</t>
  </si>
  <si>
    <t>Эквайринг</t>
  </si>
  <si>
    <t>Поштучная приемка</t>
  </si>
  <si>
    <t>Возвраты (8%)</t>
  </si>
  <si>
    <t>OZON</t>
  </si>
  <si>
    <t xml:space="preserve">Админ часть </t>
  </si>
  <si>
    <t>Оплата счета в Точке</t>
  </si>
  <si>
    <t>Бух услуги</t>
  </si>
  <si>
    <t>ЭДО</t>
  </si>
  <si>
    <t>Оплата Домена</t>
  </si>
  <si>
    <t>Оплата почтового адреса</t>
  </si>
  <si>
    <t>Оплата ИИшки</t>
  </si>
  <si>
    <t>Услуги юриста</t>
  </si>
  <si>
    <t>Все вместе</t>
  </si>
  <si>
    <t>Сумма Маркетинг+Маркетплейс+Операционка</t>
  </si>
  <si>
    <t>Себестоимость продукта</t>
  </si>
  <si>
    <t>Чистая прибыль в %</t>
  </si>
  <si>
    <t>Чистая прибыль в рублях</t>
  </si>
  <si>
    <t>2,2 литра</t>
  </si>
  <si>
    <t>3,5 литра</t>
  </si>
  <si>
    <t>Перчатки, М</t>
  </si>
  <si>
    <t>Коробка 200х200х100</t>
  </si>
  <si>
    <t>Коробка для отгрузки</t>
  </si>
  <si>
    <t>Операционка</t>
  </si>
  <si>
    <t>Логистика: → Я</t>
  </si>
  <si>
    <t>Сортировка (мои руки)</t>
  </si>
  <si>
    <t>Коробка 320×320×100</t>
  </si>
  <si>
    <t>процентное соотношение ингридиента в почвосмеси</t>
  </si>
  <si>
    <t>Растение</t>
  </si>
  <si>
    <t>Торф кислый</t>
  </si>
  <si>
    <t>Кора сосновая</t>
  </si>
  <si>
    <t>Кокосовый субстрат и чипсы</t>
  </si>
  <si>
    <t>Диатомит</t>
  </si>
  <si>
    <t>Пеностекло</t>
  </si>
  <si>
    <t>Уголь</t>
  </si>
  <si>
    <t>Песок</t>
  </si>
  <si>
    <t>Биогумус</t>
  </si>
  <si>
    <t>Сциндапсус</t>
  </si>
  <si>
    <t>Алоказия</t>
  </si>
  <si>
    <t>Замиокулькас</t>
  </si>
  <si>
    <t>Спатифиллум</t>
  </si>
  <si>
    <t>Филодендрон</t>
  </si>
  <si>
    <t>Хойя</t>
  </si>
  <si>
    <t>Церопегия</t>
  </si>
  <si>
    <t>Калатея</t>
  </si>
  <si>
    <t>Аспидистра</t>
  </si>
  <si>
    <t>Сансевиерия</t>
  </si>
  <si>
    <t>Хлорофитум</t>
  </si>
  <si>
    <t>Драцена</t>
  </si>
  <si>
    <t>Стрелиция</t>
  </si>
  <si>
    <t>Юкка</t>
  </si>
  <si>
    <t>Хамедорея</t>
  </si>
  <si>
    <t>Ховея</t>
  </si>
  <si>
    <t>Фикусы</t>
  </si>
  <si>
    <t>Шеффлера</t>
  </si>
  <si>
    <t>Фиалки</t>
  </si>
  <si>
    <t>Нижняя граница</t>
  </si>
  <si>
    <t>Верхняя граница</t>
  </si>
  <si>
    <t>себестоимость литра грунта</t>
  </si>
  <si>
    <t>Кокосовый субстрат</t>
  </si>
  <si>
    <t>Цеолит</t>
  </si>
  <si>
    <t>Дренаж</t>
  </si>
  <si>
    <t>Стоимость 1 литра грунта</t>
  </si>
  <si>
    <t>Стоимость 0,6л</t>
  </si>
  <si>
    <t>Стоимость 1,2л</t>
  </si>
  <si>
    <t>Стоимость 1,8л</t>
  </si>
  <si>
    <t>Стоимость 2,2л</t>
  </si>
  <si>
    <t>Стоимость 3л</t>
  </si>
  <si>
    <t>Стоимость 3,5л</t>
  </si>
  <si>
    <t>Стоимость 4л</t>
  </si>
  <si>
    <t>Стоимость 5л</t>
  </si>
  <si>
    <t>Стоимость 6л</t>
  </si>
  <si>
    <t>Аралиевые</t>
  </si>
  <si>
    <t>Суккуленты</t>
  </si>
  <si>
    <t>Цитрусовые</t>
  </si>
  <si>
    <t>Геснериевые</t>
  </si>
  <si>
    <t>Верхняя часть горшка</t>
  </si>
  <si>
    <t>Торф</t>
  </si>
  <si>
    <t>Наименование</t>
  </si>
  <si>
    <t>Ссылка 1</t>
  </si>
  <si>
    <t xml:space="preserve">Торф нейтральный </t>
  </si>
  <si>
    <t>https://www.ozon.ru/product/torf-verhovoy-ph-5-5-6-neytralizovannyy-50-l-167192648/?_bctx=CAkQwpq3Gw&amp;at=K8tZwMk1zI7KOxRZcg7ZJ7Gtm8RKQLtn37pQru6ALMo2</t>
  </si>
  <si>
    <t>https://www.ozon.ru/product/torf-verhovoy-ph-2-5-3-5-kislyy-10-l-309908812/?at=DqtDmJZxNcEJV3gxc4yGv4NFngZ122crlDqP0Sj07j5E&amp;from_sku=167192649&amp;oos_search=false</t>
  </si>
  <si>
    <t>Добавки</t>
  </si>
  <si>
    <t>https://www.ozon.ru/product/substrat-coco-mix-biobizz-50-l-790648102/</t>
  </si>
  <si>
    <t>Кокосовые чипсы</t>
  </si>
  <si>
    <t>https://bioabsolut.ru/kokosovye-chipsy-bioabsolut-dlya-rastenij.html</t>
  </si>
  <si>
    <t>https://www.ozon.ru/product/diatomit-premium-10-l-sadovyy-pochvouluchshitel-organik-763402267/?at=08tYWkw0McRgB24AcyjA9z8ixmJpE1cZD7NKKumOO4Yk</t>
  </si>
  <si>
    <t>https://www.ozon.ru/product/tseolit-vulkanicheskiy-dlya-rasteniy-10-litrov-2450253455/?at=gpt4WqZ5mIPyWPLqSQ6zDMEH3zLEnwcXwly97I47PjDw&amp;from_sku=2450021403&amp;oos_search=false</t>
  </si>
  <si>
    <t>https://www.ozon.ru/product/grunt-dlya-tsvetov-moh-sfagnum-sphagnum-eco-otbornyy-nasypnoy-obem-12-l-722297774/?at=nRtrLXNpKCZWV3vCJKRrrgc2QKBKEuDqpKByimgwqog&amp;from_sku=1232520061&amp;oos_search=false</t>
  </si>
  <si>
    <t>https://www.ozon.ru/product/drevesnyy-ugol-dlya-rasteniy-5l-2089930463/?at=pZtpL93EvTX2Nx4milKvrAWcmj7jj5fXyo64lSJjrzo7</t>
  </si>
  <si>
    <t>https://bioabsolut.ru/biogumus-dlya-rastenij-bioabsolut.html</t>
  </si>
  <si>
    <t>https://www.ozon.ru/product/penosteklo-10-l-fraktsiya-5-10-mm-1995294238/</t>
  </si>
  <si>
    <t>Кора сосновая 13-19 мм</t>
  </si>
  <si>
    <t>https://bioabsolut.ru/cubstrat-dlya-orhidej-effect-otbornaya-galtovannaya-kora-15mm-2l.html</t>
  </si>
  <si>
    <t>Кора сосновая 19-28 мм</t>
  </si>
  <si>
    <t>https://bioabsolut.ru/cubstrat-dlya-orhidej-effect-otbornaya-galtovannaya-kora-23mm-2l.html</t>
  </si>
  <si>
    <t>https://www.ozon.ru/product/kvartsevyy-pesok-graviy-zernistyy-dlya-zasypnyh-filtrov-2-5-mm-10-kg-3016076604/?at=46tRWZWL5TOg931vIGB9pYMc6mmR5rC1nyLPzh4BwGNm</t>
  </si>
  <si>
    <t>Нижняя часть горшка</t>
  </si>
  <si>
    <t>Размер 5-10 мм</t>
  </si>
  <si>
    <t>https://www.ozon.ru/product/keramzit-dlya-rasteniy-i-tsvetov-hury-5-10-mm-24l-drenazh-2353082569/?at=36tWMj37LhE0q2RLcLRZN5ZC8nxXMAhzKk0mLCl25VnK&amp;from_sku=1550494697&amp;oos_search=false</t>
  </si>
  <si>
    <t>Размер 10-20 мм</t>
  </si>
  <si>
    <t>https://www.ozon.ru/product/keramzit-dlya-rasteniy-i-tsvetov-hury-10-20-mm-24l-drenazh-2379141177/?at=36tWMj37LhE0q2RLcLRZN5ZC8nxXMAhzKk0mLCl25VnK&amp;from_sku=1550494697&amp;oos_search=false</t>
  </si>
  <si>
    <t>https://www.ozon.ru/my/orderdetails/?order=0248007509-0012</t>
  </si>
  <si>
    <t>https://www.ozon.ru/product/lama-torf-kornevin-dlya-rasteniy-stimulyator-rosta-kornevoy-sistemy-10-sht-po-5-g-3492541872/</t>
  </si>
  <si>
    <t>Дой-пак 10х15</t>
  </si>
  <si>
    <t>Дой-пак 12х22</t>
  </si>
  <si>
    <t>https://www.ozon.ru/product/takebox-paket-doy-pak-12x22-sm-3583862063/</t>
  </si>
  <si>
    <t>Дой-пак 16х26</t>
  </si>
  <si>
    <t>https://www.ozon.ru/product/takebox-paket-doy-pak-16x26-sm-3583861524/?from_sku=3583862063&amp;oos_search=false</t>
  </si>
  <si>
    <t>Дой-пак 20х30</t>
  </si>
  <si>
    <t>https://www.ozon.ru/product/takebox-paket-doy-pak-20x30-sm-3583862773/?from_sku=3583862063&amp;oos_search=false</t>
  </si>
  <si>
    <t>Коробка 160×160×80</t>
  </si>
  <si>
    <t>https://axelpack.ru/gofroupakovka-fefco-0427-160-160-80</t>
  </si>
  <si>
    <t>https://axelpack.ru/gofroupakovka-fefco-0427-200-200-100</t>
  </si>
  <si>
    <t>https://axelpack.ru/gofroupakovka-fefco-0427-250-250-100</t>
  </si>
  <si>
    <t>☐</t>
  </si>
  <si>
    <t>Что купить</t>
  </si>
  <si>
    <t>Нужно</t>
  </si>
  <si>
    <t>Запас</t>
  </si>
  <si>
    <t>Итого</t>
  </si>
  <si>
    <t>Ед. изм.</t>
  </si>
  <si>
    <t>Комментарий</t>
  </si>
  <si>
    <t>сколько купила</t>
  </si>
  <si>
    <t>🌱 КОМПОНЕНТЫ ПОЧВОСМЕСИ (запас 15%)</t>
  </si>
  <si>
    <t>+15%</t>
  </si>
  <si>
    <t>л</t>
  </si>
  <si>
    <t>~5 мешков по 50 л</t>
  </si>
  <si>
    <t>есть</t>
  </si>
  <si>
    <t>~2 мешка по 20 л</t>
  </si>
  <si>
    <t>Кора сосновая крупная</t>
  </si>
  <si>
    <t>~22 пакета по 5 л</t>
  </si>
  <si>
    <t>жду</t>
  </si>
  <si>
    <t>Кора сосновая мелкая</t>
  </si>
  <si>
    <t>~16 брикетов по 7 л</t>
  </si>
  <si>
    <t>Тяжёлый! ~116 кг</t>
  </si>
  <si>
    <t>Лёгкий, ~2 кг</t>
  </si>
  <si>
    <t>(на 5 больше привезли)</t>
  </si>
  <si>
    <t>Кварцевый песок (фр. 2-5мм)</t>
  </si>
  <si>
    <t>Тяжёлый! ~93 кг</t>
  </si>
  <si>
    <t>🪨 ДРЕНАЖ (запас 15%)</t>
  </si>
  <si>
    <t>Дренаж (керамзит/пеностекло)</t>
  </si>
  <si>
    <t>~18 мешков по 10 л, ~146 кг</t>
  </si>
  <si>
    <t>🧤 ДОПЫ (запас 10%)</t>
  </si>
  <si>
    <t>Перчатки силиконовые</t>
  </si>
  <si>
    <t>+10%</t>
  </si>
  <si>
    <t>пар</t>
  </si>
  <si>
    <t>500 боксов × 1 пара = 500</t>
  </si>
  <si>
    <t>Корневин (пакетик)</t>
  </si>
  <si>
    <t>шт</t>
  </si>
  <si>
    <t>📦 ДОЙ-ПАКИ TakeBox (запас 10%)</t>
  </si>
  <si>
    <t>Дой-пак 12×22 (грунт S + ВСЕ дренажи)</t>
  </si>
  <si>
    <t>175 грунт + 500 дренаж</t>
  </si>
  <si>
    <t>Дой-пак 16×26 (грунт M 2.2 л)</t>
  </si>
  <si>
    <t>Дой-пак 20×30 (грунт L 3.5 л)</t>
  </si>
  <si>
    <t>Дойпак 10х15</t>
  </si>
  <si>
    <t>📫 КОРОБКИ boxstore.ru (запас 10%)</t>
  </si>
  <si>
    <t>Коробка 160×160×80 мм</t>
  </si>
  <si>
    <t>Под боксы 1.2 л</t>
  </si>
  <si>
    <t>Коробка 200×200×100 мм</t>
  </si>
  <si>
    <t>Под боксы 2.2 л</t>
  </si>
  <si>
    <t>Коробка 250×250×100 мм</t>
  </si>
  <si>
    <t>Под боксы 3.5 л</t>
  </si>
  <si>
    <t>🏷️ МАРКИРОВКА И ОФОРМЛЕНИЕ (запас 10%)</t>
  </si>
  <si>
    <t>Этикетки на дой-паки</t>
  </si>
  <si>
    <t>2 на бокс (грунт + дренаж)</t>
  </si>
  <si>
    <t>Гайд-стикеры</t>
  </si>
  <si>
    <t>7 видов × ~80 шт</t>
  </si>
  <si>
    <t>Этикетки Ozon (штрих-код)</t>
  </si>
  <si>
    <t>Печать из ЛК, термопринтер</t>
  </si>
  <si>
    <t>🚚 ТРАНСПОРТНАЯ УПАКОВКА для Ozon FBO (запас 10%)</t>
  </si>
  <si>
    <t>Гофрокороба 600×400×400 мм</t>
  </si>
  <si>
    <t>~12-15 боксов в один короб</t>
  </si>
  <si>
    <t>Скотч упаковочный</t>
  </si>
  <si>
    <t>рулонов</t>
  </si>
  <si>
    <t>🗄️ ХРАНЕНИЕ КОМПОНЕНТОВ (разовая покупка)</t>
  </si>
  <si>
    <t>Контейнер Roxbox 50 л на колёсах</t>
  </si>
  <si>
    <t>+0%</t>
  </si>
  <si>
    <t>Для торф×2, кокос, биогумус, сфагнум, кора, дренаж</t>
  </si>
  <si>
    <t>Ящики для сухих компонентов</t>
  </si>
  <si>
    <t>Для цеолит, песок, диатомит, уголь, пеностекло</t>
  </si>
  <si>
    <t>🔧 ИНСТРУМЕНТЫ (разовая покупка)</t>
  </si>
  <si>
    <t>Запайщик пакетов импульсный</t>
  </si>
  <si>
    <t>1500-3000 ₽, Ozon</t>
  </si>
  <si>
    <t>Весы кухонные (до 10 кг)</t>
  </si>
  <si>
    <t>Мерные ёмкости (0.5, 1, 2 л)</t>
  </si>
  <si>
    <t>Тазы для замешивания 10-15 л</t>
  </si>
  <si>
    <t>Термопринтер для этикеток</t>
  </si>
  <si>
    <t>Для маркировки Ozon</t>
  </si>
  <si>
    <t>Совки мерные</t>
  </si>
  <si>
    <t>📊 СВОДКА</t>
  </si>
  <si>
    <t>Почвосмесь:</t>
  </si>
  <si>
    <t>11 компонентов, ~1032 л с запасом 15%, ~467 кг</t>
  </si>
  <si>
    <t>Дренаж:</t>
  </si>
  <si>
    <t>~183 л с запасом 15%, ~146 кг</t>
  </si>
  <si>
    <t>Общий вес сырья:</t>
  </si>
  <si>
    <t>~614 кг</t>
  </si>
  <si>
    <t>Допы:</t>
  </si>
  <si>
    <t>1100 пар перчаток + 550 корневинов (с запасом 10%)</t>
  </si>
  <si>
    <t>Дой-паки:</t>
  </si>
  <si>
    <t>743 + 248 + 110 = ~1100 шт (с запасом 10%)</t>
  </si>
  <si>
    <t>Коробки:</t>
  </si>
  <si>
    <t>193 + 248 + 110 = ~551 шт (с запасом 10%)</t>
  </si>
  <si>
    <t>Курьерские пакеты:</t>
  </si>
  <si>
    <t>НЕ НУЖНЫ — Ozon FBO упаковывает сам</t>
  </si>
  <si>
    <t>Транспортные короба:</t>
  </si>
  <si>
    <t>~44 шт</t>
  </si>
  <si>
    <t>Контейнеры хранения:</t>
  </si>
  <si>
    <t>~12 шт (разовая покупка)</t>
  </si>
  <si>
    <t>Инструменты:</t>
  </si>
  <si>
    <t>запайщик, весы, термопринтер, мерные ёмкости</t>
  </si>
  <si>
    <t>Группа</t>
  </si>
  <si>
    <t>S  (9–10 см)</t>
  </si>
  <si>
    <t>M  (12–14 см)</t>
  </si>
  <si>
    <t>L  (17–19 см)</t>
  </si>
  <si>
    <t>XL  (21–24 см)</t>
  </si>
  <si>
    <t>XXL  (27–30 см)</t>
  </si>
  <si>
    <t>⌀ см</t>
  </si>
  <si>
    <t>Высота см</t>
  </si>
  <si>
    <t>Объём л</t>
  </si>
  <si>
    <t>Подходит</t>
  </si>
  <si>
    <t>Ароидные</t>
  </si>
  <si>
    <t>9–10</t>
  </si>
  <si>
    <t>9–11</t>
  </si>
  <si>
    <t>0.4–0.6</t>
  </si>
  <si>
    <t>✓</t>
  </si>
  <si>
    <t>12–14</t>
  </si>
  <si>
    <t>12–15</t>
  </si>
  <si>
    <t>1.0–1.8</t>
  </si>
  <si>
    <t>★</t>
  </si>
  <si>
    <t>17–19</t>
  </si>
  <si>
    <t>17–20</t>
  </si>
  <si>
    <t>2.5–4.0</t>
  </si>
  <si>
    <t>21–24</t>
  </si>
  <si>
    <t>21–25</t>
  </si>
  <si>
    <t>5.0–8.0</t>
  </si>
  <si>
    <t>27–30</t>
  </si>
  <si>
    <t>27–32</t>
  </si>
  <si>
    <t>10.0–15.0</t>
  </si>
  <si>
    <t>Кутровые</t>
  </si>
  <si>
    <t>Марантовые</t>
  </si>
  <si>
    <t>Папоротники</t>
  </si>
  <si>
    <t>Спаржевые</t>
  </si>
  <si>
    <t>Банановые</t>
  </si>
  <si>
    <t>Агавовые</t>
  </si>
  <si>
    <t>Пальмы</t>
  </si>
  <si>
    <t>Тутовые</t>
  </si>
  <si>
    <t>Обозначения:</t>
  </si>
  <si>
    <t>★ — самый популярный размер для данного растения</t>
  </si>
  <si>
    <t>✓ — подходящий размер</t>
  </si>
  <si>
    <t xml:space="preserve">литраж </t>
  </si>
  <si>
    <t>S</t>
  </si>
  <si>
    <t>M</t>
  </si>
  <si>
    <t>L</t>
  </si>
  <si>
    <t>XL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</si>
</sst>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р.-419]#,##0.00"/>
    <numFmt numFmtId="165" formatCode="d.m"/>
  </numFmts>
  <fonts count="44">
    <font>
      <sz val="10.0"/>
      <color rgb="FF000000"/>
      <name val="Arial"/>
      <scheme val="minor"/>
    </font>
    <font>
      <sz val="11.0"/>
      <color theme="1"/>
      <name val="Arial"/>
      <scheme val="minor"/>
    </font>
    <font>
      <sz val="11.0"/>
      <color theme="1"/>
      <name val="Arial"/>
    </font>
    <font/>
    <font>
      <sz val="70.0"/>
      <color rgb="FFFFFFFF"/>
      <name val="Arial"/>
      <scheme val="minor"/>
    </font>
    <font>
      <color theme="1"/>
      <name val="Arial"/>
      <scheme val="minor"/>
    </font>
    <font>
      <sz val="18.0"/>
      <color theme="1"/>
      <name val="Arial"/>
      <scheme val="minor"/>
    </font>
    <font>
      <sz val="13.0"/>
      <color theme="1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b/>
      <sz val="11.0"/>
      <color theme="1"/>
      <name val="Arial"/>
    </font>
    <font>
      <color theme="1"/>
      <name val="Arial"/>
    </font>
    <font>
      <sz val="15.0"/>
      <color theme="1"/>
      <name val="Arial"/>
      <scheme val="minor"/>
    </font>
    <font>
      <sz val="11.0"/>
      <color rgb="FFFFFFFF"/>
      <name val="Arial"/>
      <scheme val="minor"/>
    </font>
    <font>
      <b/>
      <sz val="11.0"/>
      <color theme="1"/>
      <name val="Arial"/>
      <scheme val="minor"/>
    </font>
    <font>
      <sz val="15.0"/>
      <color rgb="FF666666"/>
      <name val="Arial"/>
    </font>
    <font>
      <b/>
      <sz val="11.0"/>
      <color rgb="FFFFFFFF"/>
      <name val="Arial"/>
    </font>
    <font>
      <b/>
      <i/>
      <sz val="11.0"/>
      <color theme="1"/>
      <name val="Arial"/>
    </font>
    <font>
      <b/>
      <sz val="11.0"/>
      <color rgb="FF333333"/>
      <name val="Arial"/>
    </font>
    <font>
      <sz val="11.0"/>
      <color rgb="FF555555"/>
      <name val="Arial"/>
    </font>
    <font>
      <sz val="25.0"/>
      <color theme="1"/>
      <name val="Georgia"/>
    </font>
    <font>
      <sz val="18.0"/>
      <color theme="1"/>
      <name val="Georgia"/>
    </font>
    <font>
      <u/>
      <sz val="11.0"/>
      <color rgb="FF0000FF"/>
    </font>
    <font>
      <u/>
      <sz val="11.0"/>
      <color rgb="FF0000FF"/>
    </font>
    <font>
      <u/>
      <sz val="11.0"/>
      <color rgb="FF0000FF"/>
    </font>
    <font>
      <u/>
      <sz val="11.0"/>
      <color rgb="FF0000FF"/>
    </font>
    <font>
      <u/>
      <sz val="11.0"/>
      <color rgb="FF0000FF"/>
    </font>
    <font>
      <u/>
      <sz val="11.0"/>
      <color rgb="FF0000FF"/>
    </font>
    <font>
      <u/>
      <sz val="11.0"/>
      <color rgb="FF0000FF"/>
    </font>
    <font>
      <u/>
      <color rgb="FF0000FF"/>
    </font>
    <font>
      <color rgb="FF000000"/>
      <name val="Arial"/>
      <scheme val="minor"/>
    </font>
    <font>
      <b/>
      <sz val="10.0"/>
      <color rgb="FFFFFFFF"/>
      <name val="Arial"/>
    </font>
    <font>
      <sz val="14.0"/>
      <color theme="1"/>
      <name val="Arial"/>
    </font>
    <font>
      <sz val="10.0"/>
      <color theme="1"/>
      <name val="Arial"/>
    </font>
    <font>
      <sz val="9.0"/>
      <color rgb="FFE65100"/>
      <name val="Arial"/>
    </font>
    <font>
      <b/>
      <sz val="10.0"/>
      <color theme="1"/>
      <name val="Arial"/>
    </font>
    <font>
      <i/>
      <sz val="9.0"/>
      <color rgb="FF777777"/>
      <name val="Arial"/>
    </font>
    <font>
      <b/>
      <sz val="9.0"/>
      <color rgb="FFFFFFFF"/>
      <name val="Arial"/>
    </font>
    <font>
      <sz val="9.0"/>
      <color rgb="FF777777"/>
      <name val="Arial"/>
    </font>
    <font>
      <b/>
      <sz val="12.0"/>
      <color rgb="FF2F5233"/>
      <name val="Arial"/>
    </font>
    <font>
      <b/>
      <sz val="12.0"/>
      <color rgb="FFE65100"/>
      <name val="Arial"/>
    </font>
    <font>
      <sz val="11.0"/>
      <color theme="1"/>
      <name val="Calibri"/>
    </font>
    <font>
      <b/>
      <sz val="9.0"/>
      <color theme="1"/>
      <name val="Arial"/>
    </font>
    <font>
      <sz val="9.0"/>
      <color rgb="FF2F5233"/>
      <name val="Arial"/>
    </font>
  </fonts>
  <fills count="3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6AA84F"/>
        <bgColor rgb="FF6AA84F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8E7CC3"/>
        <bgColor rgb="FF8E7CC3"/>
      </patternFill>
    </fill>
    <fill>
      <patternFill patternType="solid">
        <fgColor rgb="FFF6B26B"/>
        <bgColor rgb="FFF6B26B"/>
      </patternFill>
    </fill>
    <fill>
      <patternFill patternType="solid">
        <fgColor rgb="FF76A5AF"/>
        <bgColor rgb="FF76A5AF"/>
      </patternFill>
    </fill>
    <fill>
      <patternFill patternType="solid">
        <fgColor rgb="FFC27BA0"/>
        <bgColor rgb="FFC27BA0"/>
      </patternFill>
    </fill>
    <fill>
      <patternFill patternType="solid">
        <fgColor rgb="FFF1C232"/>
        <bgColor rgb="FFF1C232"/>
      </patternFill>
    </fill>
    <fill>
      <patternFill patternType="solid">
        <fgColor rgb="FF666666"/>
        <bgColor rgb="FF666666"/>
      </patternFill>
    </fill>
    <fill>
      <patternFill patternType="solid">
        <fgColor rgb="FFF4CCCC"/>
        <bgColor rgb="FFF4CCCC"/>
      </patternFill>
    </fill>
    <fill>
      <patternFill patternType="solid">
        <fgColor rgb="FF2F5233"/>
        <bgColor rgb="FF2F5233"/>
      </patternFill>
    </fill>
    <fill>
      <patternFill patternType="solid">
        <fgColor rgb="FF1B3A1E"/>
        <bgColor rgb="FF1B3A1E"/>
      </patternFill>
    </fill>
    <fill>
      <patternFill patternType="solid">
        <fgColor rgb="FFE65100"/>
        <bgColor rgb="FFE65100"/>
      </patternFill>
    </fill>
    <fill>
      <patternFill patternType="solid">
        <fgColor rgb="FFD9E2D9"/>
        <bgColor rgb="FFD9E2D9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4A7C59"/>
        <bgColor rgb="FF4A7C59"/>
      </patternFill>
    </fill>
    <fill>
      <patternFill patternType="solid">
        <fgColor rgb="FF3D6B4F"/>
        <bgColor rgb="FF3D6B4F"/>
      </patternFill>
    </fill>
    <fill>
      <patternFill patternType="solid">
        <fgColor rgb="FF2F5A3F"/>
        <bgColor rgb="FF2F5A3F"/>
      </patternFill>
    </fill>
    <fill>
      <patternFill patternType="solid">
        <fgColor rgb="FF234D33"/>
        <bgColor rgb="FF234D33"/>
      </patternFill>
    </fill>
  </fills>
  <borders count="105">
    <border/>
    <border>
      <right style="dotted">
        <color rgb="FF000000"/>
      </right>
    </border>
    <border>
      <right style="double">
        <color rgb="FF000000"/>
      </right>
    </border>
    <border>
      <right style="double">
        <color rgb="FF000000"/>
      </right>
      <bottom style="hair">
        <color rgb="FF000000"/>
      </bottom>
    </border>
    <border>
      <bottom style="hair">
        <color rgb="FF000000"/>
      </bottom>
    </border>
    <border>
      <right style="dotted">
        <color rgb="FF000000"/>
      </right>
      <bottom style="hair">
        <color rgb="FF000000"/>
      </bottom>
    </border>
    <border>
      <right style="double">
        <color rgb="FF000000"/>
      </right>
      <bottom style="dotted">
        <color rgb="FF000000"/>
      </bottom>
    </border>
    <border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right style="dotted">
        <color rgb="FF000000"/>
      </right>
      <top style="double">
        <color rgb="FF000000"/>
      </top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right style="dotted">
        <color rgb="FF000000"/>
      </right>
      <bottom style="double">
        <color rgb="FF000000"/>
      </bottom>
    </border>
    <border>
      <top style="dotted">
        <color rgb="FF000000"/>
      </top>
      <bottom style="dotted">
        <color rgb="FF000000"/>
      </bottom>
    </border>
    <border>
      <right style="double">
        <color rgb="FF000000"/>
      </right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top style="double">
        <color rgb="FF000000"/>
      </top>
      <bottom style="dotted">
        <color rgb="FF000000"/>
      </bottom>
    </border>
    <border>
      <top style="dotted">
        <color rgb="FF000000"/>
      </top>
    </border>
    <border>
      <left/>
      <right/>
      <top/>
      <bottom style="thin">
        <color rgb="FF000000"/>
      </bottom>
    </border>
    <border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CCCCC"/>
      </left>
      <bottom style="thin">
        <color rgb="FFCCCCCC"/>
      </bottom>
    </border>
    <border>
      <left style="thin">
        <color rgb="FFCCCCCC"/>
      </left>
      <right/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double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double">
        <color rgb="FF000000"/>
      </bottom>
    </border>
    <border>
      <left style="thin">
        <color rgb="FFCCCCCC"/>
      </left>
      <top style="thin">
        <color rgb="FFCCCCCC"/>
      </top>
      <bottom style="double">
        <color rgb="FF000000"/>
      </bottom>
    </border>
    <border>
      <right style="thin">
        <color rgb="FFCCCCCC"/>
      </right>
      <bottom style="double">
        <color rgb="FF000000"/>
      </bottom>
    </border>
    <border>
      <left style="thin">
        <color rgb="FFCCCCCC"/>
      </left>
      <right style="thin">
        <color rgb="FFCCCCCC"/>
      </right>
      <bottom style="double">
        <color rgb="FF000000"/>
      </bottom>
    </border>
    <border>
      <left style="thin">
        <color rgb="FFCCCCCC"/>
      </left>
      <bottom style="double">
        <color rgb="FF000000"/>
      </bottom>
    </border>
    <border>
      <left style="thin">
        <color rgb="FFCCCCCC"/>
      </left>
      <right/>
      <bottom style="double">
        <color rgb="FF000000"/>
      </bottom>
    </border>
    <border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top style="thin">
        <color rgb="FFCCCCCC"/>
      </top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CCCCCC"/>
      </top>
      <bottom style="thin">
        <color rgb="FFCCCCCC"/>
      </bottom>
    </border>
    <border>
      <top style="thin">
        <color rgb="FFCCCCCC"/>
      </top>
    </border>
    <border>
      <left style="thin">
        <color rgb="FF000000"/>
      </left>
      <right/>
    </border>
    <border>
      <left style="thin">
        <color rgb="FF000000"/>
      </left>
      <right/>
      <bottom style="thin">
        <color rgb="FFCCCCCC"/>
      </bottom>
    </border>
    <border>
      <left/>
      <right style="thin">
        <color rgb="FF000000"/>
      </right>
      <bottom style="double">
        <color rgb="FF000000"/>
      </bottom>
    </border>
    <border>
      <left/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right/>
      <top/>
    </border>
    <border>
      <left style="double">
        <color rgb="FFFFD966"/>
      </left>
      <top style="double">
        <color rgb="FFFFD966"/>
      </top>
      <bottom style="double">
        <color rgb="FFFFD966"/>
      </bottom>
    </border>
    <border>
      <top style="double">
        <color rgb="FFFFD966"/>
      </top>
      <bottom style="double">
        <color rgb="FFFFD966"/>
      </bottom>
    </border>
    <border>
      <right/>
      <top style="double">
        <color rgb="FFFFD966"/>
      </top>
      <bottom style="double">
        <color rgb="FFFFD966"/>
      </bottom>
    </border>
    <border>
      <right style="double">
        <color rgb="FFFFD966"/>
      </right>
      <top style="double">
        <color rgb="FFFFD966"/>
      </top>
      <bottom style="double">
        <color rgb="FFFFD966"/>
      </bottom>
    </border>
    <border>
      <left/>
      <right/>
      <bottom style="thin">
        <color rgb="FF000000"/>
      </bottom>
    </border>
    <border>
      <left/>
      <top/>
      <bottom style="thin">
        <color rgb="FF000000"/>
      </bottom>
    </border>
    <border>
      <left style="double">
        <color rgb="FF7F6000"/>
      </left>
      <right/>
      <bottom style="thin">
        <color rgb="FF000000"/>
      </bottom>
    </border>
    <border>
      <left/>
      <right style="thick">
        <color rgb="FFFBBC04"/>
      </right>
      <bottom style="thin">
        <color rgb="FF000000"/>
      </bottom>
    </border>
    <border>
      <left style="thick">
        <color rgb="FFFBBC04"/>
      </left>
      <right/>
      <bottom style="thin">
        <color rgb="FF000000"/>
      </bottom>
    </border>
    <border>
      <left/>
      <right style="double">
        <color rgb="FF7F6000"/>
      </right>
      <bottom style="thin">
        <color rgb="FF000000"/>
      </bottom>
    </border>
    <border>
      <right/>
      <top/>
      <bottom style="thin">
        <color rgb="FF000000"/>
      </bottom>
    </border>
    <border>
      <bottom style="thin">
        <color rgb="FF000000"/>
      </bottom>
    </border>
    <border>
      <right/>
      <bottom/>
    </border>
    <border>
      <left/>
      <right/>
      <bottom/>
    </border>
    <border>
      <left/>
      <bottom/>
    </border>
    <border>
      <left style="double">
        <color rgb="FF7F6000"/>
      </left>
      <right/>
      <bottom/>
    </border>
    <border>
      <left/>
      <right style="thick">
        <color rgb="FFFBBC04"/>
      </right>
      <bottom/>
    </border>
    <border>
      <left style="thick">
        <color rgb="FFFBBC04"/>
      </left>
      <right/>
      <bottom/>
    </border>
    <border>
      <left/>
      <right style="double">
        <color rgb="FF7F6000"/>
      </right>
      <bottom/>
    </border>
    <border>
      <left style="double">
        <color rgb="FF7F6000"/>
      </left>
    </border>
    <border>
      <right style="thick">
        <color rgb="FFFBBC04"/>
      </right>
    </border>
    <border>
      <left style="thick">
        <color rgb="FFFBBC04"/>
      </left>
    </border>
    <border>
      <left/>
      <right style="thick">
        <color rgb="FFFBBC04"/>
      </right>
      <top/>
      <bottom/>
    </border>
    <border>
      <right style="double">
        <color rgb="FF7F6000"/>
      </right>
    </border>
    <border>
      <left/>
      <right style="double">
        <color rgb="FF7F6000"/>
      </right>
      <top/>
      <bottom/>
    </border>
    <border>
      <left style="double">
        <color rgb="FF7F6000"/>
      </left>
      <bottom style="double">
        <color rgb="FF000000"/>
      </bottom>
    </border>
    <border>
      <left/>
      <right style="thick">
        <color rgb="FFFBBC04"/>
      </right>
      <top/>
      <bottom style="double">
        <color rgb="FF000000"/>
      </bottom>
    </border>
    <border>
      <left style="thick">
        <color rgb="FFFBBC04"/>
      </left>
      <bottom style="double">
        <color rgb="FF000000"/>
      </bottom>
    </border>
    <border>
      <right style="thick">
        <color rgb="FFFBBC04"/>
      </right>
      <bottom style="double">
        <color rgb="FF000000"/>
      </bottom>
    </border>
    <border>
      <right style="double">
        <color rgb="FF7F6000"/>
      </right>
      <bottom style="double">
        <color rgb="FF000000"/>
      </bottom>
    </border>
    <border>
      <left/>
      <top/>
      <bottom style="double">
        <color rgb="FF000000"/>
      </bottom>
    </border>
    <border>
      <right/>
      <bottom style="double">
        <color rgb="FF000000"/>
      </bottom>
    </border>
    <border>
      <left/>
      <right/>
      <bottom style="double">
        <color rgb="FF000000"/>
      </bottom>
    </border>
    <border>
      <left/>
      <bottom style="double">
        <color rgb="FF000000"/>
      </bottom>
    </border>
    <border>
      <left style="double">
        <color rgb="FF7F6000"/>
      </left>
      <right/>
      <bottom style="double">
        <color rgb="FF000000"/>
      </bottom>
    </border>
    <border>
      <left/>
      <right style="thick">
        <color rgb="FFFBBC04"/>
      </right>
      <bottom style="double">
        <color rgb="FF000000"/>
      </bottom>
    </border>
    <border>
      <left style="thick">
        <color rgb="FFFBBC04"/>
      </left>
      <right/>
      <bottom style="double">
        <color rgb="FF000000"/>
      </bottom>
    </border>
    <border>
      <left/>
      <right style="double">
        <color rgb="FF7F6000"/>
      </right>
      <bottom style="double">
        <color rgb="FF000000"/>
      </bottom>
    </border>
    <border>
      <left/>
      <right style="double">
        <color rgb="FF7F6000"/>
      </right>
      <top/>
      <bottom style="double">
        <color rgb="FF000000"/>
      </bottom>
    </border>
    <border>
      <left/>
      <right style="thin">
        <color rgb="FF000000"/>
      </right>
      <bottom/>
    </border>
    <border>
      <left style="double">
        <color rgb="FF7F6000"/>
      </left>
      <right/>
      <bottom style="thick">
        <color rgb="FFFBBC04"/>
      </bottom>
    </border>
    <border>
      <left/>
      <right/>
      <bottom style="thick">
        <color rgb="FFFBBC04"/>
      </bottom>
    </border>
    <border>
      <left/>
      <right style="thick">
        <color rgb="FFFBBC04"/>
      </right>
      <bottom style="thick">
        <color rgb="FFFBBC04"/>
      </bottom>
    </border>
    <border>
      <left style="thick">
        <color rgb="FFFBBC04"/>
      </left>
      <right/>
      <bottom style="thick">
        <color rgb="FFFBBC04"/>
      </bottom>
    </border>
    <border>
      <left/>
      <right style="double">
        <color rgb="FF7F6000"/>
      </right>
      <bottom style="thick">
        <color rgb="FFFBBC04"/>
      </bottom>
    </border>
  </borders>
  <cellStyleXfs count="1">
    <xf borderId="0" fillId="0" fontId="0" numFmtId="0" applyAlignment="1" applyFont="1"/>
  </cellStyleXfs>
  <cellXfs count="5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164" xfId="0" applyAlignment="1" applyFill="1" applyFont="1" applyNumberFormat="1">
      <alignment vertical="bottom"/>
    </xf>
    <xf borderId="1" fillId="0" fontId="3" numFmtId="0" xfId="0" applyBorder="1" applyFont="1"/>
    <xf borderId="0" fillId="0" fontId="1" numFmtId="164" xfId="0" applyAlignment="1" applyFont="1" applyNumberFormat="1">
      <alignment readingOrder="0"/>
    </xf>
    <xf borderId="0" fillId="2" fontId="1" numFmtId="164" xfId="0" applyAlignment="1" applyFont="1" applyNumberFormat="1">
      <alignment readingOrder="0"/>
    </xf>
    <xf borderId="0" fillId="0" fontId="1" numFmtId="0" xfId="0" applyFont="1"/>
    <xf borderId="0" fillId="3" fontId="1" numFmtId="0" xfId="0" applyAlignment="1" applyFill="1" applyFont="1">
      <alignment horizontal="center" readingOrder="0" vertical="center"/>
    </xf>
    <xf borderId="0" fillId="3" fontId="4" numFmtId="164" xfId="0" applyAlignment="1" applyFont="1" applyNumberForma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164" xfId="0" applyAlignment="1" applyFont="1" applyNumberFormat="1">
      <alignment readingOrder="0" shrinkToFit="0" wrapText="1"/>
    </xf>
    <xf borderId="1" fillId="0" fontId="1" numFmtId="164" xfId="0" applyAlignment="1" applyBorder="1" applyFont="1" applyNumberFormat="1">
      <alignment readingOrder="0" shrinkToFit="0" wrapText="1"/>
    </xf>
    <xf borderId="0" fillId="4" fontId="1" numFmtId="0" xfId="0" applyAlignment="1" applyFill="1" applyFont="1">
      <alignment readingOrder="0"/>
    </xf>
    <xf borderId="2" fillId="0" fontId="3" numFmtId="0" xfId="0" applyBorder="1" applyFont="1"/>
    <xf borderId="0" fillId="4" fontId="1" numFmtId="164" xfId="0" applyAlignment="1" applyFont="1" applyNumberFormat="1">
      <alignment readingOrder="0"/>
    </xf>
    <xf borderId="0" fillId="0" fontId="1" numFmtId="0" xfId="0" applyAlignment="1" applyFont="1">
      <alignment horizontal="left" readingOrder="0" vertical="top"/>
    </xf>
    <xf borderId="2" fillId="5" fontId="1" numFmtId="0" xfId="0" applyAlignment="1" applyBorder="1" applyFill="1" applyFont="1">
      <alignment horizontal="left" readingOrder="0"/>
    </xf>
    <xf borderId="0" fillId="0" fontId="1" numFmtId="164" xfId="0" applyFont="1" applyNumberFormat="1"/>
    <xf borderId="1" fillId="0" fontId="1" numFmtId="164" xfId="0" applyBorder="1" applyFont="1" applyNumberFormat="1"/>
    <xf borderId="0" fillId="6" fontId="1" numFmtId="164" xfId="0" applyAlignment="1" applyFill="1" applyFont="1" applyNumberFormat="1">
      <alignment readingOrder="0"/>
    </xf>
    <xf borderId="0" fillId="6" fontId="1" numFmtId="0" xfId="0" applyFont="1"/>
    <xf borderId="1" fillId="6" fontId="1" numFmtId="164" xfId="0" applyBorder="1" applyFont="1" applyNumberFormat="1"/>
    <xf borderId="0" fillId="6" fontId="1" numFmtId="164" xfId="0" applyFont="1" applyNumberFormat="1"/>
    <xf borderId="3" fillId="5" fontId="1" numFmtId="0" xfId="0" applyAlignment="1" applyBorder="1" applyFont="1">
      <alignment horizontal="left" readingOrder="0"/>
    </xf>
    <xf borderId="4" fillId="0" fontId="1" numFmtId="164" xfId="0" applyBorder="1" applyFont="1" applyNumberFormat="1"/>
    <xf borderId="4" fillId="0" fontId="1" numFmtId="0" xfId="0" applyBorder="1" applyFont="1"/>
    <xf borderId="5" fillId="0" fontId="1" numFmtId="164" xfId="0" applyBorder="1" applyFont="1" applyNumberFormat="1"/>
    <xf borderId="4" fillId="6" fontId="1" numFmtId="164" xfId="0" applyAlignment="1" applyBorder="1" applyFont="1" applyNumberFormat="1">
      <alignment readingOrder="0"/>
    </xf>
    <xf borderId="4" fillId="6" fontId="1" numFmtId="0" xfId="0" applyBorder="1" applyFont="1"/>
    <xf borderId="5" fillId="6" fontId="1" numFmtId="164" xfId="0" applyBorder="1" applyFont="1" applyNumberFormat="1"/>
    <xf borderId="4" fillId="6" fontId="1" numFmtId="164" xfId="0" applyBorder="1" applyFont="1" applyNumberFormat="1"/>
    <xf borderId="2" fillId="7" fontId="1" numFmtId="0" xfId="0" applyAlignment="1" applyBorder="1" applyFill="1" applyFont="1">
      <alignment horizontal="left" readingOrder="0" vertical="center"/>
    </xf>
    <xf borderId="0" fillId="6" fontId="1" numFmtId="0" xfId="0" applyAlignment="1" applyFont="1">
      <alignment readingOrder="0"/>
    </xf>
    <xf borderId="3" fillId="7" fontId="1" numFmtId="0" xfId="0" applyAlignment="1" applyBorder="1" applyFont="1">
      <alignment horizontal="left" readingOrder="0" vertical="center"/>
    </xf>
    <xf borderId="5" fillId="6" fontId="1" numFmtId="164" xfId="0" applyAlignment="1" applyBorder="1" applyFont="1" applyNumberFormat="1">
      <alignment readingOrder="0"/>
    </xf>
    <xf borderId="4" fillId="6" fontId="1" numFmtId="0" xfId="0" applyAlignment="1" applyBorder="1" applyFont="1">
      <alignment readingOrder="0"/>
    </xf>
    <xf borderId="2" fillId="8" fontId="1" numFmtId="0" xfId="0" applyAlignment="1" applyBorder="1" applyFill="1" applyFont="1">
      <alignment horizontal="left" readingOrder="0" vertical="center"/>
    </xf>
    <xf borderId="3" fillId="8" fontId="1" numFmtId="0" xfId="0" applyAlignment="1" applyBorder="1" applyFont="1">
      <alignment horizontal="left" readingOrder="0" vertical="center"/>
    </xf>
    <xf borderId="2" fillId="9" fontId="1" numFmtId="0" xfId="0" applyAlignment="1" applyBorder="1" applyFill="1" applyFont="1">
      <alignment horizontal="left" readingOrder="0"/>
    </xf>
    <xf borderId="0" fillId="6" fontId="2" numFmtId="0" xfId="0" applyAlignment="1" applyFont="1">
      <alignment vertical="bottom"/>
    </xf>
    <xf borderId="1" fillId="6" fontId="2" numFmtId="164" xfId="0" applyAlignment="1" applyBorder="1" applyFont="1" applyNumberFormat="1">
      <alignment vertical="bottom"/>
    </xf>
    <xf borderId="0" fillId="6" fontId="2" numFmtId="164" xfId="0" applyAlignment="1" applyFont="1" applyNumberFormat="1">
      <alignment vertical="bottom"/>
    </xf>
    <xf borderId="3" fillId="9" fontId="1" numFmtId="0" xfId="0" applyAlignment="1" applyBorder="1" applyFont="1">
      <alignment horizontal="left" readingOrder="0"/>
    </xf>
    <xf borderId="4" fillId="6" fontId="2" numFmtId="0" xfId="0" applyAlignment="1" applyBorder="1" applyFont="1">
      <alignment vertical="bottom"/>
    </xf>
    <xf borderId="5" fillId="6" fontId="2" numFmtId="164" xfId="0" applyAlignment="1" applyBorder="1" applyFont="1" applyNumberFormat="1">
      <alignment vertical="bottom"/>
    </xf>
    <xf borderId="4" fillId="6" fontId="2" numFmtId="164" xfId="0" applyAlignment="1" applyBorder="1" applyFont="1" applyNumberFormat="1">
      <alignment vertical="bottom"/>
    </xf>
    <xf borderId="2" fillId="10" fontId="1" numFmtId="0" xfId="0" applyAlignment="1" applyBorder="1" applyFill="1" applyFont="1">
      <alignment horizontal="left" readingOrder="0"/>
    </xf>
    <xf borderId="3" fillId="10" fontId="1" numFmtId="0" xfId="0" applyAlignment="1" applyBorder="1" applyFont="1">
      <alignment horizontal="left" readingOrder="0"/>
    </xf>
    <xf borderId="2" fillId="11" fontId="1" numFmtId="0" xfId="0" applyAlignment="1" applyBorder="1" applyFill="1" applyFont="1">
      <alignment horizontal="left" readingOrder="0"/>
    </xf>
    <xf borderId="3" fillId="11" fontId="1" numFmtId="0" xfId="0" applyAlignment="1" applyBorder="1" applyFont="1">
      <alignment horizontal="left" readingOrder="0"/>
    </xf>
    <xf borderId="2" fillId="5" fontId="1" numFmtId="0" xfId="0" applyAlignment="1" applyBorder="1" applyFont="1">
      <alignment horizontal="left" readingOrder="0" vertical="center"/>
    </xf>
    <xf borderId="0" fillId="12" fontId="1" numFmtId="0" xfId="0" applyAlignment="1" applyFill="1" applyFont="1">
      <alignment horizontal="center" readingOrder="0" vertical="center"/>
    </xf>
    <xf borderId="0" fillId="12" fontId="4" numFmtId="164" xfId="0" applyAlignment="1" applyFont="1" applyNumberFormat="1">
      <alignment readingOrder="0"/>
    </xf>
    <xf borderId="0" fillId="13" fontId="1" numFmtId="0" xfId="0" applyAlignment="1" applyFill="1" applyFont="1">
      <alignment horizontal="center" readingOrder="0" vertical="center"/>
    </xf>
    <xf borderId="0" fillId="13" fontId="1" numFmtId="164" xfId="0" applyAlignment="1" applyFont="1" applyNumberFormat="1">
      <alignment horizontal="left" readingOrder="0"/>
    </xf>
    <xf borderId="0" fillId="13" fontId="1" numFmtId="164" xfId="0" applyAlignment="1" applyFont="1" applyNumberFormat="1">
      <alignment readingOrder="0"/>
    </xf>
    <xf borderId="0" fillId="13" fontId="1" numFmtId="0" xfId="0" applyAlignment="1" applyFont="1">
      <alignment readingOrder="0"/>
    </xf>
    <xf borderId="1" fillId="0" fontId="1" numFmtId="164" xfId="0" applyAlignment="1" applyBorder="1" applyFont="1" applyNumberFormat="1">
      <alignment readingOrder="0"/>
    </xf>
    <xf borderId="0" fillId="4" fontId="1" numFmtId="164" xfId="0" applyAlignment="1" applyFont="1" applyNumberFormat="1">
      <alignment horizontal="left" readingOrder="0"/>
    </xf>
    <xf borderId="2" fillId="0" fontId="1" numFmtId="0" xfId="0" applyAlignment="1" applyBorder="1" applyFont="1">
      <alignment readingOrder="0"/>
    </xf>
    <xf borderId="2" fillId="6" fontId="1" numFmtId="0" xfId="0" applyAlignment="1" applyBorder="1" applyFont="1">
      <alignment readingOrder="0" shrinkToFit="0" wrapText="0"/>
    </xf>
    <xf borderId="2" fillId="6" fontId="2" numFmtId="0" xfId="0" applyAlignment="1" applyBorder="1" applyFont="1">
      <alignment shrinkToFit="0" vertical="bottom" wrapText="0"/>
    </xf>
    <xf borderId="2" fillId="6" fontId="2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readingOrder="0"/>
    </xf>
    <xf borderId="7" fillId="0" fontId="1" numFmtId="164" xfId="0" applyAlignment="1" applyBorder="1" applyFont="1" applyNumberFormat="1">
      <alignment readingOrder="0" shrinkToFit="0" wrapText="1"/>
    </xf>
    <xf borderId="7" fillId="0" fontId="1" numFmtId="0" xfId="0" applyAlignment="1" applyBorder="1" applyFont="1">
      <alignment readingOrder="0" shrinkToFit="0" wrapText="1"/>
    </xf>
    <xf borderId="8" fillId="0" fontId="1" numFmtId="164" xfId="0" applyAlignment="1" applyBorder="1" applyFont="1" applyNumberFormat="1">
      <alignment readingOrder="0"/>
    </xf>
    <xf borderId="7" fillId="0" fontId="1" numFmtId="164" xfId="0" applyBorder="1" applyFont="1" applyNumberFormat="1"/>
    <xf borderId="7" fillId="0" fontId="1" numFmtId="0" xfId="0" applyBorder="1" applyFont="1"/>
    <xf borderId="8" fillId="0" fontId="1" numFmtId="164" xfId="0" applyBorder="1" applyFont="1" applyNumberFormat="1"/>
    <xf borderId="2" fillId="0" fontId="2" numFmtId="0" xfId="0" applyAlignment="1" applyBorder="1" applyFont="1">
      <alignment shrinkToFit="0" vertical="bottom" wrapText="0"/>
    </xf>
    <xf borderId="6" fillId="0" fontId="2" numFmtId="0" xfId="0" applyAlignment="1" applyBorder="1" applyFont="1">
      <alignment shrinkToFit="0" vertical="bottom" wrapText="0"/>
    </xf>
    <xf borderId="0" fillId="6" fontId="1" numFmtId="0" xfId="0" applyAlignment="1" applyFont="1">
      <alignment horizontal="left" readingOrder="0" vertical="top"/>
    </xf>
    <xf borderId="1" fillId="0" fontId="1" numFmtId="164" xfId="0" applyAlignment="1" applyBorder="1" applyFont="1" applyNumberFormat="1">
      <alignment horizontal="right" readingOrder="0"/>
    </xf>
    <xf borderId="7" fillId="6" fontId="1" numFmtId="0" xfId="0" applyAlignment="1" applyBorder="1" applyFont="1">
      <alignment horizontal="left" readingOrder="0" vertical="top"/>
    </xf>
    <xf borderId="6" fillId="6" fontId="2" numFmtId="0" xfId="0" applyAlignment="1" applyBorder="1" applyFont="1">
      <alignment readingOrder="0" shrinkToFit="0" vertical="bottom" wrapText="0"/>
    </xf>
    <xf borderId="2" fillId="6" fontId="2" numFmtId="0" xfId="0" applyAlignment="1" applyBorder="1" applyFont="1">
      <alignment readingOrder="0" vertical="bottom"/>
    </xf>
    <xf borderId="6" fillId="6" fontId="2" numFmtId="0" xfId="0" applyAlignment="1" applyBorder="1" applyFont="1">
      <alignment readingOrder="0" vertical="bottom"/>
    </xf>
    <xf borderId="0" fillId="6" fontId="2" numFmtId="0" xfId="0" applyAlignment="1" applyFont="1">
      <alignment horizontal="left" readingOrder="0" vertical="top"/>
    </xf>
    <xf borderId="9" fillId="4" fontId="1" numFmtId="0" xfId="0" applyAlignment="1" applyBorder="1" applyFont="1">
      <alignment readingOrder="0"/>
    </xf>
    <xf borderId="10" fillId="0" fontId="3" numFmtId="0" xfId="0" applyBorder="1" applyFont="1"/>
    <xf borderId="9" fillId="4" fontId="1" numFmtId="164" xfId="0" applyAlignment="1" applyBorder="1" applyFont="1" applyNumberFormat="1">
      <alignment horizontal="left" readingOrder="0"/>
    </xf>
    <xf borderId="9" fillId="0" fontId="3" numFmtId="0" xfId="0" applyBorder="1" applyFont="1"/>
    <xf borderId="11" fillId="0" fontId="3" numFmtId="0" xfId="0" applyBorder="1" applyFont="1"/>
    <xf borderId="9" fillId="4" fontId="1" numFmtId="164" xfId="0" applyAlignment="1" applyBorder="1" applyFont="1" applyNumberFormat="1">
      <alignment readingOrder="0"/>
    </xf>
    <xf borderId="11" fillId="4" fontId="1" numFmtId="164" xfId="0" applyAlignment="1" applyBorder="1" applyFont="1" applyNumberFormat="1">
      <alignment readingOrder="0"/>
    </xf>
    <xf borderId="4" fillId="6" fontId="2" numFmtId="0" xfId="0" applyAlignment="1" applyBorder="1" applyFont="1">
      <alignment horizontal="left" readingOrder="0" vertical="top"/>
    </xf>
    <xf borderId="3" fillId="0" fontId="3" numFmtId="0" xfId="0" applyBorder="1" applyFont="1"/>
    <xf borderId="4" fillId="0" fontId="1" numFmtId="164" xfId="0" applyAlignment="1" applyBorder="1" applyFont="1" applyNumberFormat="1">
      <alignment readingOrder="0" shrinkToFit="0" wrapText="1"/>
    </xf>
    <xf borderId="4" fillId="0" fontId="3" numFmtId="0" xfId="0" applyBorder="1" applyFont="1"/>
    <xf borderId="5" fillId="0" fontId="3" numFmtId="0" xfId="0" applyBorder="1" applyFont="1"/>
    <xf borderId="4" fillId="6" fontId="2" numFmtId="0" xfId="0" applyAlignment="1" applyBorder="1" applyFont="1">
      <alignment readingOrder="0" vertical="bottom"/>
    </xf>
    <xf borderId="2" fillId="6" fontId="2" numFmtId="0" xfId="0" applyAlignment="1" applyBorder="1" applyFont="1">
      <alignment vertical="bottom"/>
    </xf>
    <xf borderId="2" fillId="0" fontId="1" numFmtId="0" xfId="0" applyAlignment="1" applyBorder="1" applyFont="1">
      <alignment readingOrder="0" shrinkToFit="0" wrapText="1"/>
    </xf>
    <xf borderId="2" fillId="0" fontId="2" numFmtId="0" xfId="0" applyAlignment="1" applyBorder="1" applyFont="1">
      <alignment readingOrder="0" vertical="bottom"/>
    </xf>
    <xf borderId="3" fillId="0" fontId="1" numFmtId="0" xfId="0" applyAlignment="1" applyBorder="1" applyFont="1">
      <alignment readingOrder="0"/>
    </xf>
    <xf borderId="4" fillId="0" fontId="1" numFmtId="164" xfId="0" applyAlignment="1" applyBorder="1" applyFont="1" applyNumberFormat="1">
      <alignment readingOrder="0"/>
    </xf>
    <xf borderId="2" fillId="0" fontId="1" numFmtId="0" xfId="0" applyAlignment="1" applyBorder="1" applyFont="1">
      <alignment horizontal="left" readingOrder="0" shrinkToFit="0" wrapText="1"/>
    </xf>
    <xf borderId="9" fillId="13" fontId="1" numFmtId="0" xfId="0" applyAlignment="1" applyBorder="1" applyFont="1">
      <alignment horizontal="center" readingOrder="0" shrinkToFit="0" vertical="center" wrapText="1"/>
    </xf>
    <xf borderId="9" fillId="13" fontId="1" numFmtId="164" xfId="0" applyAlignment="1" applyBorder="1" applyFont="1" applyNumberFormat="1">
      <alignment horizontal="left" readingOrder="0"/>
    </xf>
    <xf borderId="9" fillId="13" fontId="1" numFmtId="164" xfId="0" applyAlignment="1" applyBorder="1" applyFont="1" applyNumberFormat="1">
      <alignment readingOrder="0"/>
    </xf>
    <xf borderId="9" fillId="13" fontId="1" numFmtId="0" xfId="0" applyAlignment="1" applyBorder="1" applyFont="1">
      <alignment readingOrder="0"/>
    </xf>
    <xf borderId="12" fillId="0" fontId="1" numFmtId="0" xfId="0" applyAlignment="1" applyBorder="1" applyFont="1">
      <alignment readingOrder="0" shrinkToFit="0" wrapText="1"/>
    </xf>
    <xf borderId="13" fillId="0" fontId="3" numFmtId="0" xfId="0" applyBorder="1" applyFont="1"/>
    <xf borderId="12" fillId="0" fontId="1" numFmtId="164" xfId="0" applyAlignment="1" applyBorder="1" applyFont="1" applyNumberFormat="1">
      <alignment readingOrder="0"/>
    </xf>
    <xf borderId="12" fillId="0" fontId="3" numFmtId="0" xfId="0" applyBorder="1" applyFont="1"/>
    <xf borderId="14" fillId="0" fontId="3" numFmtId="0" xfId="0" applyBorder="1" applyFont="1"/>
    <xf borderId="12" fillId="0" fontId="1" numFmtId="164" xfId="0" applyBorder="1" applyFont="1" applyNumberFormat="1"/>
    <xf borderId="12" fillId="0" fontId="1" numFmtId="0" xfId="0" applyBorder="1" applyFont="1"/>
    <xf borderId="0" fillId="13" fontId="1" numFmtId="0" xfId="0" applyAlignment="1" applyFont="1">
      <alignment horizontal="center" readingOrder="0" shrinkToFit="0" vertical="center" wrapText="1"/>
    </xf>
    <xf borderId="2" fillId="0" fontId="1" numFmtId="0" xfId="0" applyBorder="1" applyFont="1"/>
    <xf borderId="0" fillId="2" fontId="5" numFmtId="0" xfId="0" applyAlignment="1" applyFont="1">
      <alignment horizontal="center" readingOrder="0" vertical="center"/>
    </xf>
    <xf borderId="2" fillId="2" fontId="5" numFmtId="0" xfId="0" applyAlignment="1" applyBorder="1" applyFont="1">
      <alignment horizontal="center" readingOrder="0" vertical="center"/>
    </xf>
    <xf borderId="0" fillId="5" fontId="5" numFmtId="164" xfId="0" applyAlignment="1" applyFont="1" applyNumberFormat="1">
      <alignment horizontal="center" readingOrder="0" vertical="center"/>
    </xf>
    <xf borderId="0" fillId="7" fontId="5" numFmtId="164" xfId="0" applyAlignment="1" applyFont="1" applyNumberFormat="1">
      <alignment horizontal="center" readingOrder="0" vertical="center"/>
    </xf>
    <xf borderId="0" fillId="8" fontId="5" numFmtId="164" xfId="0" applyAlignment="1" applyFont="1" applyNumberFormat="1">
      <alignment horizontal="center" readingOrder="0" vertical="center"/>
    </xf>
    <xf borderId="0" fillId="9" fontId="5" numFmtId="164" xfId="0" applyAlignment="1" applyFont="1" applyNumberFormat="1">
      <alignment horizontal="center" readingOrder="0"/>
    </xf>
    <xf borderId="0" fillId="10" fontId="5" numFmtId="164" xfId="0" applyAlignment="1" applyFont="1" applyNumberFormat="1">
      <alignment horizontal="center" readingOrder="0"/>
    </xf>
    <xf borderId="0" fillId="11" fontId="5" numFmtId="164" xfId="0" applyAlignment="1" applyFont="1" applyNumberFormat="1">
      <alignment horizontal="center" readingOrder="0"/>
    </xf>
    <xf borderId="0" fillId="14" fontId="6" numFmtId="0" xfId="0" applyAlignment="1" applyFill="1" applyFont="1">
      <alignment horizontal="center" readingOrder="0" vertical="center"/>
    </xf>
    <xf borderId="0" fillId="14" fontId="6" numFmtId="164" xfId="0" applyAlignment="1" applyFont="1" applyNumberFormat="1">
      <alignment horizontal="center" readingOrder="0" vertical="center"/>
    </xf>
    <xf borderId="0" fillId="14" fontId="7" numFmtId="164" xfId="0" applyAlignment="1" applyFont="1" applyNumberFormat="1">
      <alignment horizontal="center" readingOrder="0" vertical="center"/>
    </xf>
    <xf borderId="0" fillId="6" fontId="5" numFmtId="164" xfId="0" applyAlignment="1" applyFont="1" applyNumberFormat="1">
      <alignment horizontal="center"/>
    </xf>
    <xf borderId="9" fillId="2" fontId="8" numFmtId="0" xfId="0" applyAlignment="1" applyBorder="1" applyFont="1">
      <alignment horizontal="left" readingOrder="0" vertical="top"/>
    </xf>
    <xf borderId="9" fillId="2" fontId="5" numFmtId="0" xfId="0" applyAlignment="1" applyBorder="1" applyFont="1">
      <alignment horizontal="left" readingOrder="0" vertical="top"/>
    </xf>
    <xf borderId="10" fillId="2" fontId="5" numFmtId="10" xfId="0" applyAlignment="1" applyBorder="1" applyFont="1" applyNumberFormat="1">
      <alignment horizontal="left" readingOrder="0" vertical="top"/>
    </xf>
    <xf borderId="9" fillId="2" fontId="5" numFmtId="164" xfId="0" applyAlignment="1" applyBorder="1" applyFont="1" applyNumberFormat="1">
      <alignment horizontal="center" readingOrder="0"/>
    </xf>
    <xf borderId="9" fillId="6" fontId="5" numFmtId="164" xfId="0" applyAlignment="1" applyBorder="1" applyFont="1" applyNumberFormat="1">
      <alignment horizontal="center"/>
    </xf>
    <xf borderId="9" fillId="0" fontId="5" numFmtId="0" xfId="0" applyBorder="1" applyFont="1"/>
    <xf borderId="0" fillId="2" fontId="5" numFmtId="0" xfId="0" applyAlignment="1" applyFont="1">
      <alignment horizontal="left" readingOrder="0" vertical="top"/>
    </xf>
    <xf borderId="2" fillId="2" fontId="5" numFmtId="10" xfId="0" applyAlignment="1" applyBorder="1" applyFont="1" applyNumberFormat="1">
      <alignment horizontal="left" readingOrder="0" vertical="top"/>
    </xf>
    <xf borderId="0" fillId="2" fontId="5" numFmtId="164" xfId="0" applyAlignment="1" applyFont="1" applyNumberFormat="1">
      <alignment horizontal="center" readingOrder="0"/>
    </xf>
    <xf borderId="2" fillId="2" fontId="2" numFmtId="10" xfId="0" applyAlignment="1" applyBorder="1" applyFont="1" applyNumberFormat="1">
      <alignment horizontal="left" vertical="top"/>
    </xf>
    <xf borderId="2" fillId="2" fontId="2" numFmtId="0" xfId="0" applyAlignment="1" applyBorder="1" applyFont="1">
      <alignment horizontal="left" readingOrder="0" vertical="top"/>
    </xf>
    <xf borderId="2" fillId="2" fontId="2" numFmtId="10" xfId="0" applyAlignment="1" applyBorder="1" applyFont="1" applyNumberFormat="1">
      <alignment horizontal="left" shrinkToFit="0" vertical="top" wrapText="1"/>
    </xf>
    <xf borderId="2" fillId="2" fontId="2" numFmtId="0" xfId="0" applyAlignment="1" applyBorder="1" applyFont="1">
      <alignment horizontal="left" readingOrder="0" shrinkToFit="0" vertical="top" wrapText="1"/>
    </xf>
    <xf borderId="0" fillId="6" fontId="5" numFmtId="164" xfId="0" applyAlignment="1" applyFont="1" applyNumberFormat="1">
      <alignment horizontal="center" readingOrder="0"/>
    </xf>
    <xf borderId="7" fillId="0" fontId="3" numFmtId="0" xfId="0" applyBorder="1" applyFont="1"/>
    <xf borderId="6" fillId="2" fontId="2" numFmtId="0" xfId="0" applyAlignment="1" applyBorder="1" applyFont="1">
      <alignment horizontal="left" readingOrder="0" shrinkToFit="0" vertical="top" wrapText="1"/>
    </xf>
    <xf borderId="7" fillId="2" fontId="5" numFmtId="164" xfId="0" applyAlignment="1" applyBorder="1" applyFont="1" applyNumberFormat="1">
      <alignment horizontal="center" readingOrder="0"/>
    </xf>
    <xf borderId="7" fillId="6" fontId="5" numFmtId="164" xfId="0" applyAlignment="1" applyBorder="1" applyFont="1" applyNumberFormat="1">
      <alignment horizontal="center" readingOrder="0"/>
    </xf>
    <xf borderId="7" fillId="0" fontId="5" numFmtId="0" xfId="0" applyBorder="1" applyFont="1"/>
    <xf borderId="15" fillId="2" fontId="8" numFmtId="0" xfId="0" applyAlignment="1" applyBorder="1" applyFont="1">
      <alignment horizontal="left" readingOrder="0" vertical="top"/>
    </xf>
    <xf borderId="7" fillId="2" fontId="5" numFmtId="0" xfId="0" applyAlignment="1" applyBorder="1" applyFont="1">
      <alignment horizontal="left" readingOrder="0" vertical="top"/>
    </xf>
    <xf borderId="6" fillId="2" fontId="1" numFmtId="0" xfId="0" applyAlignment="1" applyBorder="1" applyFont="1">
      <alignment horizontal="left" readingOrder="0" vertical="top"/>
    </xf>
    <xf borderId="7" fillId="6" fontId="5" numFmtId="164" xfId="0" applyAlignment="1" applyBorder="1" applyFont="1" applyNumberFormat="1">
      <alignment horizontal="center"/>
    </xf>
    <xf borderId="0" fillId="2" fontId="8" numFmtId="0" xfId="0" applyAlignment="1" applyFont="1">
      <alignment horizontal="left" readingOrder="0" vertical="top"/>
    </xf>
    <xf borderId="2" fillId="2" fontId="2" numFmtId="0" xfId="0" applyAlignment="1" applyBorder="1" applyFont="1">
      <alignment horizontal="left" vertical="top"/>
    </xf>
    <xf borderId="3" fillId="2" fontId="2" numFmtId="0" xfId="0" applyAlignment="1" applyBorder="1" applyFont="1">
      <alignment horizontal="left" vertical="top"/>
    </xf>
    <xf borderId="0" fillId="2" fontId="9" numFmtId="0" xfId="0" applyAlignment="1" applyFont="1">
      <alignment readingOrder="0" vertical="bottom"/>
    </xf>
    <xf borderId="0" fillId="2" fontId="10" numFmtId="164" xfId="0" applyAlignment="1" applyFont="1" applyNumberFormat="1">
      <alignment horizontal="center" vertical="bottom"/>
    </xf>
    <xf borderId="0" fillId="6" fontId="11" numFmtId="164" xfId="0" applyAlignment="1" applyFont="1" applyNumberFormat="1">
      <alignment horizontal="center" vertical="bottom"/>
    </xf>
    <xf borderId="0" fillId="0" fontId="11" numFmtId="0" xfId="0" applyAlignment="1" applyFont="1">
      <alignment vertical="bottom"/>
    </xf>
    <xf borderId="9" fillId="2" fontId="9" numFmtId="0" xfId="0" applyAlignment="1" applyBorder="1" applyFont="1">
      <alignment vertical="bottom"/>
    </xf>
    <xf borderId="9" fillId="5" fontId="11" numFmtId="164" xfId="0" applyAlignment="1" applyBorder="1" applyFont="1" applyNumberFormat="1">
      <alignment horizontal="center" vertical="bottom"/>
    </xf>
    <xf borderId="9" fillId="7" fontId="11" numFmtId="164" xfId="0" applyAlignment="1" applyBorder="1" applyFont="1" applyNumberFormat="1">
      <alignment horizontal="center" vertical="bottom"/>
    </xf>
    <xf borderId="9" fillId="8" fontId="11" numFmtId="164" xfId="0" applyAlignment="1" applyBorder="1" applyFont="1" applyNumberFormat="1">
      <alignment horizontal="center" vertical="bottom"/>
    </xf>
    <xf borderId="9" fillId="9" fontId="11" numFmtId="164" xfId="0" applyAlignment="1" applyBorder="1" applyFont="1" applyNumberFormat="1">
      <alignment horizontal="center" vertical="bottom"/>
    </xf>
    <xf borderId="9" fillId="10" fontId="11" numFmtId="164" xfId="0" applyAlignment="1" applyBorder="1" applyFont="1" applyNumberFormat="1">
      <alignment horizontal="center" vertical="bottom"/>
    </xf>
    <xf borderId="9" fillId="6" fontId="11" numFmtId="164" xfId="0" applyAlignment="1" applyBorder="1" applyFont="1" applyNumberFormat="1">
      <alignment horizontal="center" vertical="bottom"/>
    </xf>
    <xf borderId="9" fillId="0" fontId="11" numFmtId="0" xfId="0" applyAlignment="1" applyBorder="1" applyFont="1">
      <alignment vertical="bottom"/>
    </xf>
    <xf borderId="9" fillId="5" fontId="5" numFmtId="10" xfId="0" applyAlignment="1" applyBorder="1" applyFont="1" applyNumberFormat="1">
      <alignment horizontal="center" readingOrder="0"/>
    </xf>
    <xf borderId="9" fillId="7" fontId="5" numFmtId="10" xfId="0" applyAlignment="1" applyBorder="1" applyFont="1" applyNumberFormat="1">
      <alignment horizontal="center" readingOrder="0"/>
    </xf>
    <xf borderId="9" fillId="8" fontId="5" numFmtId="10" xfId="0" applyAlignment="1" applyBorder="1" applyFont="1" applyNumberFormat="1">
      <alignment horizontal="center"/>
    </xf>
    <xf borderId="9" fillId="9" fontId="5" numFmtId="10" xfId="0" applyAlignment="1" applyBorder="1" applyFont="1" applyNumberFormat="1">
      <alignment horizontal="center"/>
    </xf>
    <xf borderId="9" fillId="10" fontId="5" numFmtId="10" xfId="0" applyAlignment="1" applyBorder="1" applyFont="1" applyNumberFormat="1">
      <alignment horizontal="center"/>
    </xf>
    <xf borderId="0" fillId="15" fontId="11" numFmtId="164" xfId="0" applyAlignment="1" applyFill="1" applyFont="1" applyNumberFormat="1">
      <alignment horizontal="center" vertical="bottom"/>
    </xf>
    <xf borderId="0" fillId="16" fontId="11" numFmtId="164" xfId="0" applyAlignment="1" applyFill="1" applyFont="1" applyNumberFormat="1">
      <alignment horizontal="center" vertical="bottom"/>
    </xf>
    <xf borderId="0" fillId="17" fontId="11" numFmtId="164" xfId="0" applyAlignment="1" applyFill="1" applyFont="1" applyNumberFormat="1">
      <alignment horizontal="center" vertical="bottom"/>
    </xf>
    <xf borderId="0" fillId="18" fontId="11" numFmtId="164" xfId="0" applyAlignment="1" applyFill="1" applyFont="1" applyNumberFormat="1">
      <alignment horizontal="center" vertical="bottom"/>
    </xf>
    <xf borderId="0" fillId="19" fontId="11" numFmtId="164" xfId="0" applyAlignment="1" applyFill="1" applyFont="1" applyNumberFormat="1">
      <alignment horizontal="center" vertical="bottom"/>
    </xf>
    <xf borderId="0" fillId="0" fontId="11" numFmtId="164" xfId="0" applyAlignment="1" applyFont="1" applyNumberFormat="1">
      <alignment vertical="bottom"/>
    </xf>
    <xf borderId="15" fillId="2" fontId="5" numFmtId="0" xfId="0" applyAlignment="1" applyBorder="1" applyFont="1">
      <alignment horizontal="left" readingOrder="0" vertical="top"/>
    </xf>
    <xf borderId="16" fillId="2" fontId="1" numFmtId="0" xfId="0" applyAlignment="1" applyBorder="1" applyFont="1">
      <alignment horizontal="left" readingOrder="0" vertical="top"/>
    </xf>
    <xf borderId="15" fillId="2" fontId="5" numFmtId="164" xfId="0" applyAlignment="1" applyBorder="1" applyFont="1" applyNumberFormat="1">
      <alignment horizontal="center" readingOrder="0"/>
    </xf>
    <xf borderId="15" fillId="0" fontId="3" numFmtId="0" xfId="0" applyBorder="1" applyFont="1"/>
    <xf borderId="15" fillId="0" fontId="5" numFmtId="0" xfId="0" applyBorder="1" applyFont="1"/>
    <xf borderId="9" fillId="5" fontId="5" numFmtId="164" xfId="0" applyAlignment="1" applyBorder="1" applyFont="1" applyNumberFormat="1">
      <alignment horizontal="center" readingOrder="0"/>
    </xf>
    <xf borderId="9" fillId="7" fontId="5" numFmtId="164" xfId="0" applyAlignment="1" applyBorder="1" applyFont="1" applyNumberFormat="1">
      <alignment horizontal="center" readingOrder="0"/>
    </xf>
    <xf borderId="9" fillId="8" fontId="5" numFmtId="164" xfId="0" applyAlignment="1" applyBorder="1" applyFont="1" applyNumberFormat="1">
      <alignment horizontal="center"/>
    </xf>
    <xf borderId="9" fillId="9" fontId="5" numFmtId="164" xfId="0" applyAlignment="1" applyBorder="1" applyFont="1" applyNumberFormat="1">
      <alignment horizontal="center"/>
    </xf>
    <xf borderId="9" fillId="10" fontId="5" numFmtId="164" xfId="0" applyAlignment="1" applyBorder="1" applyFont="1" applyNumberFormat="1">
      <alignment horizontal="center"/>
    </xf>
    <xf borderId="9" fillId="11" fontId="5" numFmtId="164" xfId="0" applyAlignment="1" applyBorder="1" applyFont="1" applyNumberFormat="1">
      <alignment horizontal="center"/>
    </xf>
    <xf borderId="9" fillId="5" fontId="5" numFmtId="164" xfId="0" applyAlignment="1" applyBorder="1" applyFont="1" applyNumberFormat="1">
      <alignment horizontal="center"/>
    </xf>
    <xf borderId="9" fillId="11" fontId="5" numFmtId="10" xfId="0" applyAlignment="1" applyBorder="1" applyFont="1" applyNumberFormat="1">
      <alignment horizontal="center"/>
    </xf>
    <xf borderId="9" fillId="5" fontId="5" numFmtId="10" xfId="0" applyAlignment="1" applyBorder="1" applyFont="1" applyNumberFormat="1">
      <alignment horizontal="center"/>
    </xf>
    <xf borderId="0" fillId="20" fontId="11" numFmtId="164" xfId="0" applyAlignment="1" applyFill="1" applyFont="1" applyNumberFormat="1">
      <alignment horizontal="center" vertical="bottom"/>
    </xf>
    <xf borderId="0" fillId="6" fontId="12" numFmtId="164" xfId="0" applyAlignment="1" applyFont="1" applyNumberFormat="1">
      <alignment horizontal="center" readingOrder="0" vertical="center"/>
    </xf>
    <xf borderId="9" fillId="6" fontId="5" numFmtId="164" xfId="0" applyAlignment="1" applyBorder="1" applyFont="1" applyNumberFormat="1">
      <alignment horizontal="center" readingOrder="0"/>
    </xf>
    <xf borderId="0" fillId="2" fontId="5" numFmtId="164" xfId="0" applyAlignment="1" applyFont="1" applyNumberFormat="1">
      <alignment horizontal="center"/>
    </xf>
    <xf borderId="0" fillId="2" fontId="11" numFmtId="164" xfId="0" applyAlignment="1" applyFont="1" applyNumberFormat="1">
      <alignment horizontal="center" readingOrder="0" vertical="bottom"/>
    </xf>
    <xf borderId="0" fillId="6" fontId="5" numFmtId="0" xfId="0" applyFont="1"/>
    <xf borderId="15" fillId="6" fontId="5" numFmtId="164" xfId="0" applyAlignment="1" applyBorder="1" applyFont="1" applyNumberFormat="1">
      <alignment horizontal="center" readingOrder="0"/>
    </xf>
    <xf borderId="15" fillId="6" fontId="5" numFmtId="164" xfId="0" applyAlignment="1" applyBorder="1" applyFont="1" applyNumberFormat="1">
      <alignment horizontal="center"/>
    </xf>
    <xf borderId="15" fillId="2" fontId="5" numFmtId="164" xfId="0" applyAlignment="1" applyBorder="1" applyFont="1" applyNumberFormat="1">
      <alignment horizontal="center"/>
    </xf>
    <xf borderId="17" fillId="0" fontId="5" numFmtId="0" xfId="0" applyBorder="1" applyFont="1"/>
    <xf borderId="0" fillId="0" fontId="11" numFmtId="164" xfId="0" applyAlignment="1" applyFont="1" applyNumberFormat="1">
      <alignment readingOrder="0" vertical="bottom"/>
    </xf>
    <xf borderId="0" fillId="6" fontId="5" numFmtId="0" xfId="0" applyAlignment="1" applyFont="1">
      <alignment readingOrder="0"/>
    </xf>
    <xf borderId="2" fillId="6" fontId="5" numFmtId="0" xfId="0" applyAlignment="1" applyBorder="1" applyFont="1">
      <alignment readingOrder="0"/>
    </xf>
    <xf borderId="2" fillId="6" fontId="5" numFmtId="0" xfId="0" applyBorder="1" applyFont="1"/>
    <xf borderId="0" fillId="6" fontId="6" numFmtId="0" xfId="0" applyAlignment="1" applyFont="1">
      <alignment horizontal="center" readingOrder="0" vertical="center"/>
    </xf>
    <xf borderId="2" fillId="6" fontId="6" numFmtId="0" xfId="0" applyAlignment="1" applyBorder="1" applyFont="1">
      <alignment horizontal="center" readingOrder="0" vertical="center"/>
    </xf>
    <xf borderId="0" fillId="6" fontId="6" numFmtId="164" xfId="0" applyAlignment="1" applyFont="1" applyNumberFormat="1">
      <alignment horizontal="center" readingOrder="0" vertical="center"/>
    </xf>
    <xf borderId="0" fillId="2" fontId="5" numFmtId="0" xfId="0" applyFont="1"/>
    <xf borderId="2" fillId="2" fontId="5" numFmtId="0" xfId="0" applyBorder="1" applyFont="1"/>
    <xf borderId="0" fillId="5" fontId="5" numFmtId="164" xfId="0" applyAlignment="1" applyFont="1" applyNumberFormat="1">
      <alignment horizontal="center"/>
    </xf>
    <xf borderId="0" fillId="7" fontId="5" numFmtId="164" xfId="0" applyAlignment="1" applyFont="1" applyNumberFormat="1">
      <alignment horizontal="center"/>
    </xf>
    <xf borderId="0" fillId="8" fontId="5" numFmtId="164" xfId="0" applyAlignment="1" applyFont="1" applyNumberFormat="1">
      <alignment horizontal="center"/>
    </xf>
    <xf borderId="0" fillId="9" fontId="5" numFmtId="164" xfId="0" applyAlignment="1" applyFont="1" applyNumberFormat="1">
      <alignment horizontal="center"/>
    </xf>
    <xf borderId="0" fillId="10" fontId="5" numFmtId="164" xfId="0" applyAlignment="1" applyFont="1" applyNumberFormat="1">
      <alignment horizontal="center"/>
    </xf>
    <xf borderId="0" fillId="11" fontId="5" numFmtId="164" xfId="0" applyAlignment="1" applyFont="1" applyNumberFormat="1">
      <alignment horizontal="center"/>
    </xf>
    <xf borderId="0" fillId="2" fontId="7" numFmtId="0" xfId="0" applyAlignment="1" applyFont="1">
      <alignment horizontal="left" readingOrder="0" vertical="top"/>
    </xf>
    <xf borderId="0" fillId="2" fontId="7" numFmtId="0" xfId="0" applyAlignment="1" applyFont="1">
      <alignment horizontal="center" readingOrder="0" vertical="center"/>
    </xf>
    <xf borderId="0" fillId="21" fontId="7" numFmtId="0" xfId="0" applyAlignment="1" applyFill="1" applyFont="1">
      <alignment horizontal="center" readingOrder="0" vertical="center"/>
    </xf>
    <xf borderId="0" fillId="3" fontId="7" numFmtId="0" xfId="0" applyAlignment="1" applyFont="1">
      <alignment horizontal="center" readingOrder="0" vertical="center"/>
    </xf>
    <xf borderId="0" fillId="17" fontId="7" numFmtId="0" xfId="0" applyAlignment="1" applyFont="1">
      <alignment horizontal="center" readingOrder="0" vertical="center"/>
    </xf>
    <xf borderId="0" fillId="18" fontId="7" numFmtId="0" xfId="0" applyAlignment="1" applyFont="1">
      <alignment readingOrder="0"/>
    </xf>
    <xf borderId="0" fillId="19" fontId="7" numFmtId="0" xfId="0" applyAlignment="1" applyFont="1">
      <alignment readingOrder="0"/>
    </xf>
    <xf borderId="0" fillId="20" fontId="7" numFmtId="0" xfId="0" applyAlignment="1" applyFont="1">
      <alignment readingOrder="0"/>
    </xf>
    <xf borderId="0" fillId="21" fontId="7" numFmtId="0" xfId="0" applyAlignment="1" applyFont="1">
      <alignment readingOrder="0"/>
    </xf>
    <xf borderId="0" fillId="0" fontId="7" numFmtId="0" xfId="0" applyFont="1"/>
    <xf borderId="0" fillId="22" fontId="13" numFmtId="0" xfId="0" applyAlignment="1" applyFill="1" applyFont="1">
      <alignment horizontal="left" readingOrder="0" vertical="top"/>
    </xf>
    <xf borderId="0" fillId="22" fontId="13" numFmtId="0" xfId="0" applyAlignment="1" applyFont="1">
      <alignment horizontal="center" readingOrder="0" vertical="center"/>
    </xf>
    <xf borderId="18" fillId="2" fontId="10" numFmtId="0" xfId="0" applyAlignment="1" applyBorder="1" applyFont="1">
      <alignment horizontal="left" vertical="top"/>
    </xf>
    <xf borderId="18" fillId="0" fontId="3" numFmtId="0" xfId="0" applyBorder="1" applyFont="1"/>
    <xf borderId="18" fillId="15" fontId="2" numFmtId="164" xfId="0" applyAlignment="1" applyBorder="1" applyFont="1" applyNumberFormat="1">
      <alignment horizontal="right" vertical="bottom"/>
    </xf>
    <xf borderId="18" fillId="16" fontId="2" numFmtId="164" xfId="0" applyAlignment="1" applyBorder="1" applyFont="1" applyNumberFormat="1">
      <alignment horizontal="right" vertical="bottom"/>
    </xf>
    <xf borderId="18" fillId="17" fontId="2" numFmtId="164" xfId="0" applyAlignment="1" applyBorder="1" applyFont="1" applyNumberFormat="1">
      <alignment horizontal="right" vertical="bottom"/>
    </xf>
    <xf borderId="18" fillId="18" fontId="2" numFmtId="164" xfId="0" applyAlignment="1" applyBorder="1" applyFont="1" applyNumberFormat="1">
      <alignment horizontal="right" vertical="bottom"/>
    </xf>
    <xf borderId="18" fillId="12" fontId="2" numFmtId="164" xfId="0" applyAlignment="1" applyBorder="1" applyFont="1" applyNumberFormat="1">
      <alignment horizontal="right" vertical="bottom"/>
    </xf>
    <xf borderId="18" fillId="20" fontId="2" numFmtId="164" xfId="0" applyAlignment="1" applyBorder="1" applyFont="1" applyNumberFormat="1">
      <alignment horizontal="right" vertical="bottom"/>
    </xf>
    <xf borderId="9" fillId="0" fontId="2" numFmtId="0" xfId="0" applyAlignment="1" applyBorder="1" applyFont="1">
      <alignment vertical="bottom"/>
    </xf>
    <xf borderId="7" fillId="2" fontId="1" numFmtId="0" xfId="0" applyAlignment="1" applyBorder="1" applyFont="1">
      <alignment horizontal="left" readingOrder="0" vertical="top"/>
    </xf>
    <xf borderId="7" fillId="5" fontId="1" numFmtId="164" xfId="0" applyAlignment="1" applyBorder="1" applyFont="1" applyNumberFormat="1">
      <alignment readingOrder="0"/>
    </xf>
    <xf borderId="7" fillId="7" fontId="1" numFmtId="164" xfId="0" applyAlignment="1" applyBorder="1" applyFont="1" applyNumberFormat="1">
      <alignment readingOrder="0"/>
    </xf>
    <xf borderId="7" fillId="8" fontId="1" numFmtId="164" xfId="0" applyBorder="1" applyFont="1" applyNumberFormat="1"/>
    <xf borderId="7" fillId="9" fontId="1" numFmtId="164" xfId="0" applyBorder="1" applyFont="1" applyNumberFormat="1"/>
    <xf borderId="7" fillId="10" fontId="1" numFmtId="164" xfId="0" applyBorder="1" applyFont="1" applyNumberFormat="1"/>
    <xf borderId="7" fillId="11" fontId="1" numFmtId="0" xfId="0" applyBorder="1" applyFont="1"/>
    <xf borderId="7" fillId="5" fontId="1" numFmtId="0" xfId="0" applyBorder="1" applyFont="1"/>
    <xf borderId="0" fillId="2" fontId="1" numFmtId="0" xfId="0" applyAlignment="1" applyFont="1">
      <alignment horizontal="left" readingOrder="0" vertical="top"/>
    </xf>
    <xf borderId="0" fillId="2" fontId="1" numFmtId="0" xfId="0" applyAlignment="1" applyFont="1">
      <alignment readingOrder="0"/>
    </xf>
    <xf borderId="0" fillId="2" fontId="1" numFmtId="164" xfId="0" applyAlignment="1" applyFont="1" applyNumberFormat="1">
      <alignment horizontal="center" readingOrder="0"/>
    </xf>
    <xf borderId="7" fillId="2" fontId="1" numFmtId="0" xfId="0" applyAlignment="1" applyBorder="1" applyFont="1">
      <alignment readingOrder="0"/>
    </xf>
    <xf borderId="7" fillId="2" fontId="1" numFmtId="164" xfId="0" applyAlignment="1" applyBorder="1" applyFont="1" applyNumberFormat="1">
      <alignment horizontal="center" readingOrder="0"/>
    </xf>
    <xf borderId="0" fillId="2" fontId="2" numFmtId="0" xfId="0" applyAlignment="1" applyFont="1">
      <alignment readingOrder="0" shrinkToFit="0" vertical="bottom" wrapText="0"/>
    </xf>
    <xf borderId="19" fillId="2" fontId="2" numFmtId="0" xfId="0" applyAlignment="1" applyBorder="1" applyFont="1">
      <alignment vertical="bottom"/>
    </xf>
    <xf borderId="0" fillId="2" fontId="2" numFmtId="0" xfId="0" applyAlignment="1" applyFont="1">
      <alignment vertical="bottom"/>
    </xf>
    <xf borderId="0" fillId="2" fontId="2" numFmtId="0" xfId="0" applyAlignment="1" applyFont="1">
      <alignment readingOrder="0" vertical="bottom"/>
    </xf>
    <xf borderId="7" fillId="2" fontId="2" numFmtId="0" xfId="0" applyAlignment="1" applyBorder="1" applyFont="1">
      <alignment readingOrder="0" vertical="bottom"/>
    </xf>
    <xf borderId="18" fillId="2" fontId="14" numFmtId="0" xfId="0" applyAlignment="1" applyBorder="1" applyFont="1">
      <alignment horizontal="left" readingOrder="0" vertical="top"/>
    </xf>
    <xf borderId="18" fillId="15" fontId="1" numFmtId="164" xfId="0" applyAlignment="1" applyBorder="1" applyFont="1" applyNumberFormat="1">
      <alignment readingOrder="0"/>
    </xf>
    <xf borderId="18" fillId="16" fontId="1" numFmtId="164" xfId="0" applyAlignment="1" applyBorder="1" applyFont="1" applyNumberFormat="1">
      <alignment readingOrder="0"/>
    </xf>
    <xf borderId="18" fillId="17" fontId="1" numFmtId="164" xfId="0" applyBorder="1" applyFont="1" applyNumberFormat="1"/>
    <xf borderId="18" fillId="18" fontId="1" numFmtId="164" xfId="0" applyBorder="1" applyFont="1" applyNumberFormat="1"/>
    <xf borderId="18" fillId="12" fontId="1" numFmtId="164" xfId="0" applyBorder="1" applyFont="1" applyNumberFormat="1"/>
    <xf borderId="18" fillId="20" fontId="1" numFmtId="164" xfId="0" applyBorder="1" applyFont="1" applyNumberFormat="1"/>
    <xf borderId="18" fillId="15" fontId="1" numFmtId="164" xfId="0" applyBorder="1" applyFont="1" applyNumberFormat="1"/>
    <xf borderId="9" fillId="0" fontId="1" numFmtId="0" xfId="0" applyBorder="1" applyFont="1"/>
    <xf borderId="7" fillId="11" fontId="1" numFmtId="164" xfId="0" applyBorder="1" applyFont="1" applyNumberFormat="1"/>
    <xf borderId="7" fillId="5" fontId="1" numFmtId="164" xfId="0" applyBorder="1" applyFont="1" applyNumberFormat="1"/>
    <xf borderId="18" fillId="17" fontId="1" numFmtId="0" xfId="0" applyBorder="1" applyFont="1"/>
    <xf borderId="7" fillId="7" fontId="1" numFmtId="0" xfId="0" applyAlignment="1" applyBorder="1" applyFont="1">
      <alignment readingOrder="0"/>
    </xf>
    <xf borderId="7" fillId="8" fontId="1" numFmtId="0" xfId="0" applyBorder="1" applyFont="1"/>
    <xf borderId="19" fillId="2" fontId="2" numFmtId="0" xfId="0" applyAlignment="1" applyBorder="1" applyFont="1">
      <alignment readingOrder="0" shrinkToFit="0" vertical="bottom" wrapText="0"/>
    </xf>
    <xf borderId="19" fillId="2" fontId="1" numFmtId="164" xfId="0" applyAlignment="1" applyBorder="1" applyFont="1" applyNumberFormat="1">
      <alignment horizontal="center" readingOrder="0"/>
    </xf>
    <xf borderId="19" fillId="0" fontId="3" numFmtId="0" xfId="0" applyBorder="1" applyFont="1"/>
    <xf borderId="19" fillId="2" fontId="1" numFmtId="0" xfId="0" applyAlignment="1" applyBorder="1" applyFont="1">
      <alignment horizontal="left" readingOrder="0" vertical="top"/>
    </xf>
    <xf borderId="0" fillId="5" fontId="1" numFmtId="0" xfId="0" applyAlignment="1" applyFont="1">
      <alignment readingOrder="0"/>
    </xf>
    <xf borderId="0" fillId="7" fontId="1" numFmtId="0" xfId="0" applyAlignment="1" applyFont="1">
      <alignment readingOrder="0"/>
    </xf>
    <xf borderId="0" fillId="8" fontId="1" numFmtId="0" xfId="0" applyAlignment="1" applyFont="1">
      <alignment readingOrder="0"/>
    </xf>
    <xf borderId="0" fillId="9" fontId="1" numFmtId="0" xfId="0" applyFont="1"/>
    <xf borderId="0" fillId="10" fontId="1" numFmtId="0" xfId="0" applyFont="1"/>
    <xf borderId="0" fillId="11" fontId="1" numFmtId="0" xfId="0" applyFont="1"/>
    <xf borderId="0" fillId="5" fontId="1" numFmtId="0" xfId="0" applyFont="1"/>
    <xf borderId="0" fillId="5" fontId="1" numFmtId="164" xfId="0" applyAlignment="1" applyFont="1" applyNumberFormat="1">
      <alignment readingOrder="0"/>
    </xf>
    <xf borderId="0" fillId="7" fontId="1" numFmtId="164" xfId="0" applyAlignment="1" applyFont="1" applyNumberFormat="1">
      <alignment readingOrder="0"/>
    </xf>
    <xf borderId="0" fillId="8" fontId="1" numFmtId="164" xfId="0" applyAlignment="1" applyFont="1" applyNumberFormat="1">
      <alignment readingOrder="0"/>
    </xf>
    <xf borderId="0" fillId="5" fontId="1" numFmtId="164" xfId="0" applyFont="1" applyNumberFormat="1"/>
    <xf borderId="0" fillId="7" fontId="1" numFmtId="164" xfId="0" applyFont="1" applyNumberFormat="1"/>
    <xf borderId="0" fillId="8" fontId="1" numFmtId="164" xfId="0" applyFont="1" applyNumberFormat="1"/>
    <xf borderId="0" fillId="2" fontId="1" numFmtId="0" xfId="0" applyAlignment="1" applyFont="1">
      <alignment horizontal="left" vertical="top"/>
    </xf>
    <xf borderId="0" fillId="2" fontId="1" numFmtId="0" xfId="0" applyFont="1"/>
    <xf borderId="0" fillId="2" fontId="1" numFmtId="0" xfId="0" applyAlignment="1" applyFont="1">
      <alignment horizontal="center" readingOrder="0" vertical="center"/>
    </xf>
    <xf borderId="0" fillId="7" fontId="1" numFmtId="0" xfId="0" applyFont="1"/>
    <xf borderId="0" fillId="8" fontId="1" numFmtId="0" xfId="0" applyFont="1"/>
    <xf borderId="0" fillId="23" fontId="15" numFmtId="0" xfId="0" applyAlignment="1" applyFill="1" applyFont="1">
      <alignment horizontal="center" readingOrder="0" shrinkToFit="0" vertical="center" wrapText="1"/>
    </xf>
    <xf borderId="20" fillId="24" fontId="16" numFmtId="0" xfId="0" applyAlignment="1" applyBorder="1" applyFill="1" applyFont="1">
      <alignment horizontal="center" shrinkToFit="0" vertical="center" wrapText="1"/>
    </xf>
    <xf borderId="20" fillId="25" fontId="16" numFmtId="0" xfId="0" applyAlignment="1" applyBorder="1" applyFill="1" applyFont="1">
      <alignment horizontal="center" shrinkToFit="0" vertical="center" wrapText="1"/>
    </xf>
    <xf borderId="20" fillId="26" fontId="16" numFmtId="0" xfId="0" applyAlignment="1" applyBorder="1" applyFill="1" applyFont="1">
      <alignment horizontal="center" shrinkToFit="0" vertical="center" wrapText="1"/>
    </xf>
    <xf borderId="21" fillId="2" fontId="10" numFmtId="0" xfId="0" applyAlignment="1" applyBorder="1" applyFont="1">
      <alignment shrinkToFit="0" vertical="bottom" wrapText="0"/>
    </xf>
    <xf borderId="22" fillId="2" fontId="2" numFmtId="9" xfId="0" applyAlignment="1" applyBorder="1" applyFont="1" applyNumberFormat="1">
      <alignment horizontal="center" shrinkToFit="0" vertical="bottom" wrapText="0"/>
    </xf>
    <xf borderId="23" fillId="2" fontId="10" numFmtId="9" xfId="0" applyAlignment="1" applyBorder="1" applyFont="1" applyNumberFormat="1">
      <alignment horizontal="center" shrinkToFit="0" vertical="bottom" wrapText="0"/>
    </xf>
    <xf borderId="24" fillId="2" fontId="10" numFmtId="9" xfId="0" applyAlignment="1" applyBorder="1" applyFont="1" applyNumberFormat="1">
      <alignment horizontal="center" shrinkToFit="0" vertical="bottom" wrapText="0"/>
    </xf>
    <xf borderId="25" fillId="6" fontId="2" numFmtId="0" xfId="0" applyAlignment="1" applyBorder="1" applyFont="1">
      <alignment shrinkToFit="0" vertical="bottom" wrapText="0"/>
    </xf>
    <xf borderId="26" fillId="6" fontId="2" numFmtId="9" xfId="0" applyAlignment="1" applyBorder="1" applyFont="1" applyNumberFormat="1">
      <alignment horizontal="center" shrinkToFit="0" vertical="bottom" wrapText="0"/>
    </xf>
    <xf borderId="27" fillId="6" fontId="10" numFmtId="9" xfId="0" applyAlignment="1" applyBorder="1" applyFont="1" applyNumberFormat="1">
      <alignment horizontal="center" shrinkToFit="0" vertical="bottom" wrapText="0"/>
    </xf>
    <xf borderId="25" fillId="2" fontId="2" numFmtId="0" xfId="0" applyAlignment="1" applyBorder="1" applyFont="1">
      <alignment shrinkToFit="0" vertical="bottom" wrapText="0"/>
    </xf>
    <xf borderId="26" fillId="2" fontId="2" numFmtId="9" xfId="0" applyAlignment="1" applyBorder="1" applyFont="1" applyNumberFormat="1">
      <alignment horizontal="center" shrinkToFit="0" vertical="bottom" wrapText="0"/>
    </xf>
    <xf borderId="27" fillId="2" fontId="10" numFmtId="9" xfId="0" applyAlignment="1" applyBorder="1" applyFont="1" applyNumberFormat="1">
      <alignment horizontal="center" shrinkToFit="0" vertical="bottom" wrapText="0"/>
    </xf>
    <xf borderId="28" fillId="2" fontId="2" numFmtId="0" xfId="0" applyAlignment="1" applyBorder="1" applyFont="1">
      <alignment shrinkToFit="0" vertical="bottom" wrapText="0"/>
    </xf>
    <xf borderId="29" fillId="2" fontId="2" numFmtId="9" xfId="0" applyAlignment="1" applyBorder="1" applyFont="1" applyNumberFormat="1">
      <alignment horizontal="center" shrinkToFit="0" vertical="bottom" wrapText="0"/>
    </xf>
    <xf borderId="30" fillId="2" fontId="10" numFmtId="9" xfId="0" applyAlignment="1" applyBorder="1" applyFont="1" applyNumberFormat="1">
      <alignment horizontal="center" shrinkToFit="0" vertical="bottom" wrapText="0"/>
    </xf>
    <xf borderId="21" fillId="6" fontId="10" numFmtId="0" xfId="0" applyAlignment="1" applyBorder="1" applyFont="1">
      <alignment shrinkToFit="0" vertical="bottom" wrapText="0"/>
    </xf>
    <xf borderId="22" fillId="6" fontId="2" numFmtId="9" xfId="0" applyAlignment="1" applyBorder="1" applyFont="1" applyNumberFormat="1">
      <alignment horizontal="center" shrinkToFit="0" vertical="bottom" wrapText="0"/>
    </xf>
    <xf borderId="23" fillId="6" fontId="10" numFmtId="9" xfId="0" applyAlignment="1" applyBorder="1" applyFont="1" applyNumberFormat="1">
      <alignment horizontal="center" shrinkToFit="0" vertical="bottom" wrapText="0"/>
    </xf>
    <xf borderId="24" fillId="6" fontId="10" numFmtId="9" xfId="0" applyAlignment="1" applyBorder="1" applyFont="1" applyNumberFormat="1">
      <alignment horizontal="center" shrinkToFit="0" vertical="bottom" wrapText="0"/>
    </xf>
    <xf borderId="31" fillId="6" fontId="10" numFmtId="0" xfId="0" applyAlignment="1" applyBorder="1" applyFont="1">
      <alignment shrinkToFit="0" vertical="bottom" wrapText="0"/>
    </xf>
    <xf borderId="32" fillId="6" fontId="2" numFmtId="9" xfId="0" applyAlignment="1" applyBorder="1" applyFont="1" applyNumberFormat="1">
      <alignment horizontal="center" shrinkToFit="0" vertical="bottom" wrapText="0"/>
    </xf>
    <xf borderId="33" fillId="6" fontId="10" numFmtId="9" xfId="0" applyAlignment="1" applyBorder="1" applyFont="1" applyNumberFormat="1">
      <alignment horizontal="center" shrinkToFit="0" vertical="bottom" wrapText="0"/>
    </xf>
    <xf borderId="34" fillId="6" fontId="10" numFmtId="9" xfId="0" applyAlignment="1" applyBorder="1" applyFont="1" applyNumberFormat="1">
      <alignment horizontal="center" shrinkToFit="0" vertical="bottom" wrapText="0"/>
    </xf>
    <xf borderId="31" fillId="2" fontId="10" numFmtId="0" xfId="0" applyAlignment="1" applyBorder="1" applyFont="1">
      <alignment readingOrder="0" shrinkToFit="0" vertical="bottom" wrapText="0"/>
    </xf>
    <xf borderId="32" fillId="2" fontId="2" numFmtId="9" xfId="0" applyAlignment="1" applyBorder="1" applyFont="1" applyNumberFormat="1">
      <alignment horizontal="center" shrinkToFit="0" vertical="bottom" wrapText="0"/>
    </xf>
    <xf borderId="33" fillId="2" fontId="10" numFmtId="9" xfId="0" applyAlignment="1" applyBorder="1" applyFont="1" applyNumberFormat="1">
      <alignment horizontal="center" shrinkToFit="0" vertical="bottom" wrapText="0"/>
    </xf>
    <xf borderId="34" fillId="2" fontId="10" numFmtId="9" xfId="0" applyAlignment="1" applyBorder="1" applyFont="1" applyNumberFormat="1">
      <alignment horizontal="center" shrinkToFit="0" vertical="bottom" wrapText="0"/>
    </xf>
    <xf borderId="31" fillId="2" fontId="10" numFmtId="0" xfId="0" applyAlignment="1" applyBorder="1" applyFont="1">
      <alignment shrinkToFit="0" vertical="bottom" wrapText="0"/>
    </xf>
    <xf borderId="35" fillId="0" fontId="1" numFmtId="0" xfId="0" applyBorder="1" applyFont="1"/>
    <xf borderId="36" fillId="0" fontId="1" numFmtId="0" xfId="0" applyBorder="1" applyFont="1"/>
    <xf borderId="37" fillId="0" fontId="1" numFmtId="0" xfId="0" applyBorder="1" applyFont="1"/>
    <xf borderId="27" fillId="0" fontId="1" numFmtId="0" xfId="0" applyBorder="1" applyFont="1"/>
    <xf borderId="38" fillId="5" fontId="17" numFmtId="0" xfId="0" applyAlignment="1" applyBorder="1" applyFont="1">
      <alignment shrinkToFit="0" vertical="bottom" wrapText="0"/>
    </xf>
    <xf borderId="39" fillId="5" fontId="17" numFmtId="9" xfId="0" applyAlignment="1" applyBorder="1" applyFont="1" applyNumberFormat="1">
      <alignment horizontal="center" shrinkToFit="0" vertical="bottom" wrapText="0"/>
    </xf>
    <xf borderId="40" fillId="5" fontId="17" numFmtId="9" xfId="0" applyAlignment="1" applyBorder="1" applyFont="1" applyNumberFormat="1">
      <alignment horizontal="center" shrinkToFit="0" vertical="bottom" wrapText="0"/>
    </xf>
    <xf borderId="41" fillId="0" fontId="1" numFmtId="0" xfId="0" applyBorder="1" applyFont="1"/>
    <xf borderId="42" fillId="0" fontId="1" numFmtId="0" xfId="0" applyBorder="1" applyFont="1"/>
    <xf borderId="0" fillId="0" fontId="18" numFmtId="0" xfId="0" applyAlignment="1" applyFont="1">
      <alignment shrinkToFit="0" vertical="bottom" wrapText="0"/>
    </xf>
    <xf borderId="0" fillId="0" fontId="19" numFmtId="0" xfId="0" applyAlignment="1" applyFont="1">
      <alignment shrinkToFit="0" vertical="bottom" wrapText="0"/>
    </xf>
    <xf borderId="20" fillId="24" fontId="16" numFmtId="0" xfId="0" applyAlignment="1" applyBorder="1" applyFont="1">
      <alignment horizontal="center" readingOrder="0" shrinkToFit="0" vertical="center" wrapText="1"/>
    </xf>
    <xf borderId="0" fillId="27" fontId="10" numFmtId="10" xfId="0" applyAlignment="1" applyFill="1" applyFont="1" applyNumberFormat="1">
      <alignment horizontal="center" readingOrder="0" shrinkToFit="0" vertical="center" wrapText="0"/>
    </xf>
    <xf borderId="0" fillId="27" fontId="10" numFmtId="10" xfId="0" applyAlignment="1" applyFont="1" applyNumberFormat="1">
      <alignment horizontal="center" readingOrder="0" shrinkToFit="0" vertical="center" wrapText="1"/>
    </xf>
    <xf borderId="43" fillId="2" fontId="10" numFmtId="9" xfId="0" applyAlignment="1" applyBorder="1" applyFont="1" applyNumberFormat="1">
      <alignment horizontal="center" readingOrder="0" shrinkToFit="0" vertical="bottom" wrapText="0"/>
    </xf>
    <xf borderId="22" fillId="2" fontId="2" numFmtId="164" xfId="0" applyAlignment="1" applyBorder="1" applyFont="1" applyNumberFormat="1">
      <alignment horizontal="center" readingOrder="0" shrinkToFit="0" vertical="bottom" wrapText="0"/>
    </xf>
    <xf borderId="22" fillId="2" fontId="2" numFmtId="164" xfId="0" applyAlignment="1" applyBorder="1" applyFont="1" applyNumberFormat="1">
      <alignment horizontal="center" shrinkToFit="0" vertical="bottom" wrapText="0"/>
    </xf>
    <xf borderId="23" fillId="2" fontId="10" numFmtId="164" xfId="0" applyAlignment="1" applyBorder="1" applyFont="1" applyNumberFormat="1">
      <alignment horizontal="center" readingOrder="0" shrinkToFit="0" vertical="bottom" wrapText="0"/>
    </xf>
    <xf borderId="44" fillId="2" fontId="10" numFmtId="164" xfId="0" applyAlignment="1" applyBorder="1" applyFont="1" applyNumberFormat="1">
      <alignment horizontal="center" shrinkToFit="0" vertical="bottom" wrapText="0"/>
    </xf>
    <xf borderId="0" fillId="0" fontId="5" numFmtId="0" xfId="0" applyFont="1"/>
    <xf borderId="26" fillId="6" fontId="2" numFmtId="164" xfId="0" applyAlignment="1" applyBorder="1" applyFont="1" applyNumberFormat="1">
      <alignment horizontal="center" shrinkToFit="0" vertical="bottom" wrapText="0"/>
    </xf>
    <xf borderId="27" fillId="6" fontId="10" numFmtId="164" xfId="0" applyAlignment="1" applyBorder="1" applyFont="1" applyNumberFormat="1">
      <alignment horizontal="center" shrinkToFit="0" vertical="bottom" wrapText="0"/>
    </xf>
    <xf borderId="25" fillId="7" fontId="2" numFmtId="0" xfId="0" applyAlignment="1" applyBorder="1" applyFont="1">
      <alignment shrinkToFit="0" vertical="bottom" wrapText="0"/>
    </xf>
    <xf borderId="26" fillId="7" fontId="2" numFmtId="164" xfId="0" applyAlignment="1" applyBorder="1" applyFont="1" applyNumberFormat="1">
      <alignment horizontal="center" shrinkToFit="0" vertical="bottom" wrapText="0"/>
    </xf>
    <xf borderId="27" fillId="7" fontId="10" numFmtId="164" xfId="0" applyAlignment="1" applyBorder="1" applyFont="1" applyNumberFormat="1">
      <alignment horizontal="center" shrinkToFit="0" vertical="bottom" wrapText="0"/>
    </xf>
    <xf borderId="44" fillId="7" fontId="10" numFmtId="164" xfId="0" applyAlignment="1" applyBorder="1" applyFont="1" applyNumberFormat="1">
      <alignment horizontal="center" shrinkToFit="0" vertical="bottom" wrapText="0"/>
    </xf>
    <xf borderId="0" fillId="7" fontId="5" numFmtId="164" xfId="0" applyFont="1" applyNumberFormat="1"/>
    <xf borderId="0" fillId="7" fontId="5" numFmtId="0" xfId="0" applyFont="1"/>
    <xf borderId="26" fillId="7" fontId="2" numFmtId="164" xfId="0" applyAlignment="1" applyBorder="1" applyFont="1" applyNumberFormat="1">
      <alignment horizontal="center" readingOrder="0" shrinkToFit="0" vertical="bottom" wrapText="0"/>
    </xf>
    <xf borderId="28" fillId="7" fontId="2" numFmtId="0" xfId="0" applyAlignment="1" applyBorder="1" applyFont="1">
      <alignment shrinkToFit="0" vertical="bottom" wrapText="0"/>
    </xf>
    <xf borderId="29" fillId="7" fontId="2" numFmtId="164" xfId="0" applyAlignment="1" applyBorder="1" applyFont="1" applyNumberFormat="1">
      <alignment horizontal="center" shrinkToFit="0" vertical="bottom" wrapText="0"/>
    </xf>
    <xf borderId="30" fillId="7" fontId="10" numFmtId="164" xfId="0" applyAlignment="1" applyBorder="1" applyFont="1" applyNumberFormat="1">
      <alignment horizontal="center" shrinkToFit="0" vertical="bottom" wrapText="0"/>
    </xf>
    <xf borderId="22" fillId="6" fontId="2" numFmtId="164" xfId="0" applyAlignment="1" applyBorder="1" applyFont="1" applyNumberFormat="1">
      <alignment horizontal="center" shrinkToFit="0" vertical="bottom" wrapText="0"/>
    </xf>
    <xf borderId="23" fillId="6" fontId="10" numFmtId="164" xfId="0" applyAlignment="1" applyBorder="1" applyFont="1" applyNumberFormat="1">
      <alignment horizontal="center" shrinkToFit="0" vertical="bottom" wrapText="0"/>
    </xf>
    <xf borderId="29" fillId="2" fontId="2" numFmtId="164" xfId="0" applyAlignment="1" applyBorder="1" applyFont="1" applyNumberFormat="1">
      <alignment horizontal="center" shrinkToFit="0" vertical="bottom" wrapText="0"/>
    </xf>
    <xf borderId="30" fillId="2" fontId="10" numFmtId="164" xfId="0" applyAlignment="1" applyBorder="1" applyFont="1" applyNumberFormat="1">
      <alignment horizontal="center" shrinkToFit="0" vertical="bottom" wrapText="0"/>
    </xf>
    <xf borderId="32" fillId="6" fontId="2" numFmtId="164" xfId="0" applyAlignment="1" applyBorder="1" applyFont="1" applyNumberFormat="1">
      <alignment horizontal="center" shrinkToFit="0" vertical="bottom" wrapText="0"/>
    </xf>
    <xf borderId="33" fillId="6" fontId="10" numFmtId="164" xfId="0" applyAlignment="1" applyBorder="1" applyFont="1" applyNumberFormat="1">
      <alignment horizontal="center" shrinkToFit="0" vertical="bottom" wrapText="0"/>
    </xf>
    <xf borderId="32" fillId="2" fontId="2" numFmtId="164" xfId="0" applyAlignment="1" applyBorder="1" applyFont="1" applyNumberFormat="1">
      <alignment horizontal="center" shrinkToFit="0" vertical="bottom" wrapText="0"/>
    </xf>
    <xf borderId="33" fillId="2" fontId="10" numFmtId="164" xfId="0" applyAlignment="1" applyBorder="1" applyFont="1" applyNumberFormat="1">
      <alignment horizontal="center" shrinkToFit="0" vertical="bottom" wrapText="0"/>
    </xf>
    <xf borderId="26" fillId="2" fontId="2" numFmtId="164" xfId="0" applyAlignment="1" applyBorder="1" applyFont="1" applyNumberFormat="1">
      <alignment horizontal="center" shrinkToFit="0" vertical="bottom" wrapText="0"/>
    </xf>
    <xf borderId="27" fillId="2" fontId="10" numFmtId="164" xfId="0" applyAlignment="1" applyBorder="1" applyFont="1" applyNumberFormat="1">
      <alignment horizontal="center" shrinkToFit="0" vertical="bottom" wrapText="0"/>
    </xf>
    <xf borderId="29" fillId="2" fontId="2" numFmtId="164" xfId="0" applyAlignment="1" applyBorder="1" applyFont="1" applyNumberFormat="1">
      <alignment horizontal="center" readingOrder="0" shrinkToFit="0" vertical="bottom" wrapText="0"/>
    </xf>
    <xf borderId="32" fillId="2" fontId="2" numFmtId="164" xfId="0" applyAlignment="1" applyBorder="1" applyFont="1" applyNumberFormat="1">
      <alignment horizontal="center" readingOrder="0" shrinkToFit="0" vertical="bottom" wrapText="0"/>
    </xf>
    <xf borderId="31" fillId="7" fontId="10" numFmtId="0" xfId="0" applyAlignment="1" applyBorder="1" applyFont="1">
      <alignment shrinkToFit="0" vertical="bottom" wrapText="0"/>
    </xf>
    <xf borderId="32" fillId="7" fontId="2" numFmtId="164" xfId="0" applyAlignment="1" applyBorder="1" applyFont="1" applyNumberFormat="1">
      <alignment horizontal="center" shrinkToFit="0" vertical="bottom" wrapText="0"/>
    </xf>
    <xf borderId="32" fillId="7" fontId="2" numFmtId="164" xfId="0" applyAlignment="1" applyBorder="1" applyFont="1" applyNumberFormat="1">
      <alignment horizontal="center" readingOrder="0" shrinkToFit="0" vertical="bottom" wrapText="0"/>
    </xf>
    <xf borderId="33" fillId="7" fontId="10" numFmtId="164" xfId="0" applyAlignment="1" applyBorder="1" applyFont="1" applyNumberFormat="1">
      <alignment horizontal="center" shrinkToFit="0" vertical="bottom" wrapText="0"/>
    </xf>
    <xf borderId="45" fillId="27" fontId="10" numFmtId="0" xfId="0" applyAlignment="1" applyBorder="1" applyFont="1">
      <alignment horizontal="center" shrinkToFit="0" vertical="center" wrapText="1"/>
    </xf>
    <xf borderId="46" fillId="27" fontId="10" numFmtId="0" xfId="0" applyAlignment="1" applyBorder="1" applyFont="1">
      <alignment horizontal="center" shrinkToFit="0" vertical="center" wrapText="1"/>
    </xf>
    <xf borderId="0" fillId="0" fontId="12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47" fillId="28" fontId="20" numFmtId="0" xfId="0" applyAlignment="1" applyBorder="1" applyFill="1" applyFont="1">
      <alignment horizontal="center" readingOrder="0" shrinkToFit="0" wrapText="0"/>
    </xf>
    <xf borderId="48" fillId="0" fontId="3" numFmtId="0" xfId="0" applyBorder="1" applyFont="1"/>
    <xf borderId="49" fillId="0" fontId="3" numFmtId="0" xfId="0" applyBorder="1" applyFont="1"/>
    <xf borderId="0" fillId="6" fontId="1" numFmtId="0" xfId="0" applyAlignment="1" applyFont="1">
      <alignment readingOrder="0" shrinkToFit="0" wrapText="1"/>
    </xf>
    <xf borderId="0" fillId="29" fontId="21" numFmtId="0" xfId="0" applyAlignment="1" applyFill="1" applyFont="1">
      <alignment horizontal="center" readingOrder="0" shrinkToFit="0" wrapText="0"/>
    </xf>
    <xf borderId="0" fillId="6" fontId="5" numFmtId="0" xfId="0" applyAlignment="1" applyFont="1">
      <alignment readingOrder="0" shrinkToFit="0" wrapText="1"/>
    </xf>
    <xf borderId="0" fillId="8" fontId="1" numFmtId="0" xfId="0" applyAlignment="1" applyFont="1">
      <alignment horizontal="center" readingOrder="0" shrinkToFit="0" vertical="center" wrapText="0"/>
    </xf>
    <xf borderId="50" fillId="8" fontId="2" numFmtId="0" xfId="0" applyAlignment="1" applyBorder="1" applyFont="1">
      <alignment horizontal="center" readingOrder="0" shrinkToFit="0" vertical="center" wrapText="1"/>
    </xf>
    <xf borderId="0" fillId="2" fontId="1" numFmtId="0" xfId="0" applyAlignment="1" applyFont="1">
      <alignment horizontal="right" readingOrder="0" shrinkToFit="0" wrapText="0"/>
    </xf>
    <xf borderId="0" fillId="2" fontId="1" numFmtId="0" xfId="0" applyAlignment="1" applyFont="1">
      <alignment readingOrder="0" shrinkToFit="0" wrapText="0"/>
    </xf>
    <xf borderId="0" fillId="2" fontId="22" numFmtId="0" xfId="0" applyAlignment="1" applyFont="1">
      <alignment horizontal="center" readingOrder="0" shrinkToFit="0" wrapText="0"/>
    </xf>
    <xf borderId="0" fillId="0" fontId="1" numFmtId="0" xfId="0" applyAlignment="1" applyFont="1">
      <alignment horizontal="right" readingOrder="0" shrinkToFit="0" wrapText="0"/>
    </xf>
    <xf borderId="0" fillId="0" fontId="1" numFmtId="0" xfId="0" applyAlignment="1" applyFont="1">
      <alignment readingOrder="0" shrinkToFit="0" wrapText="0"/>
    </xf>
    <xf borderId="0" fillId="0" fontId="23" numFmtId="0" xfId="0" applyAlignment="1" applyFont="1">
      <alignment horizontal="center" readingOrder="0" shrinkToFit="0" wrapText="0"/>
    </xf>
    <xf borderId="51" fillId="8" fontId="2" numFmtId="0" xfId="0" applyAlignment="1" applyBorder="1" applyFont="1">
      <alignment horizontal="center" readingOrder="0" shrinkToFit="0" vertical="center" wrapText="1"/>
    </xf>
    <xf borderId="0" fillId="6" fontId="2" numFmtId="0" xfId="0" applyAlignment="1" applyFont="1">
      <alignment shrinkToFit="0" vertical="bottom" wrapText="1"/>
    </xf>
    <xf borderId="0" fillId="2" fontId="1" numFmtId="0" xfId="0" applyAlignment="1" applyFont="1">
      <alignment horizontal="left" readingOrder="0" shrinkToFit="0" wrapText="0"/>
    </xf>
    <xf borderId="0" fillId="2" fontId="24" numFmtId="0" xfId="0" applyAlignment="1" applyFont="1">
      <alignment horizontal="center" readingOrder="0" shrinkToFit="0" wrapText="0"/>
    </xf>
    <xf borderId="0" fillId="6" fontId="1" numFmtId="0" xfId="0" applyAlignment="1" applyFont="1">
      <alignment horizontal="right" readingOrder="0" shrinkToFit="0" wrapText="0"/>
    </xf>
    <xf borderId="0" fillId="6" fontId="1" numFmtId="0" xfId="0" applyAlignment="1" applyFont="1">
      <alignment horizontal="left" readingOrder="0" shrinkToFit="0" wrapText="0"/>
    </xf>
    <xf borderId="0" fillId="6" fontId="25" numFmtId="0" xfId="0" applyAlignment="1" applyFont="1">
      <alignment horizontal="center" readingOrder="0" shrinkToFit="0" wrapText="0"/>
    </xf>
    <xf borderId="0" fillId="0" fontId="1" numFmtId="0" xfId="0" applyAlignment="1" applyFont="1">
      <alignment horizontal="left" readingOrder="0" shrinkToFit="0" wrapText="0"/>
    </xf>
    <xf borderId="0" fillId="0" fontId="26" numFmtId="0" xfId="0" applyAlignment="1" applyFont="1">
      <alignment horizontal="center" readingOrder="0" shrinkToFit="0" wrapText="0"/>
    </xf>
    <xf borderId="52" fillId="28" fontId="20" numFmtId="0" xfId="0" applyAlignment="1" applyBorder="1" applyFont="1">
      <alignment horizontal="center" readingOrder="0" shrinkToFit="0" wrapText="0"/>
    </xf>
    <xf borderId="53" fillId="0" fontId="3" numFmtId="0" xfId="0" applyBorder="1" applyFont="1"/>
    <xf borderId="54" fillId="0" fontId="3" numFmtId="0" xfId="0" applyBorder="1" applyFont="1"/>
    <xf borderId="0" fillId="2" fontId="1" numFmtId="0" xfId="0" applyAlignment="1" applyFont="1">
      <alignment horizontal="right" readingOrder="0" shrinkToFit="0" vertical="center" wrapText="0"/>
    </xf>
    <xf borderId="0" fillId="2" fontId="1" numFmtId="0" xfId="0" applyAlignment="1" applyFont="1">
      <alignment horizontal="left" readingOrder="0" shrinkToFit="0" vertical="center" wrapText="0"/>
    </xf>
    <xf borderId="0" fillId="2" fontId="27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8" numFmtId="0" xfId="0" applyAlignment="1" applyFont="1">
      <alignment horizontal="center" readingOrder="0" shrinkToFit="0" vertical="center" wrapText="0"/>
    </xf>
    <xf borderId="0" fillId="0" fontId="29" numFmtId="0" xfId="0" applyAlignment="1" applyFont="1">
      <alignment readingOrder="0" shrinkToFit="0" wrapText="0"/>
    </xf>
    <xf borderId="0" fillId="6" fontId="5" numFmtId="10" xfId="0" applyAlignment="1" applyFont="1" applyNumberFormat="1">
      <alignment horizontal="center" shrinkToFit="0" vertical="center" wrapText="0"/>
    </xf>
    <xf borderId="0" fillId="0" fontId="30" numFmtId="0" xfId="0" applyAlignment="1" applyFont="1">
      <alignment readingOrder="0" shrinkToFit="0" wrapText="0"/>
    </xf>
    <xf borderId="0" fillId="0" fontId="5" numFmtId="0" xfId="0" applyAlignment="1" applyFont="1">
      <alignment readingOrder="0"/>
    </xf>
    <xf borderId="55" fillId="24" fontId="31" numFmtId="0" xfId="0" applyAlignment="1" applyBorder="1" applyFont="1">
      <alignment horizontal="center" shrinkToFit="0" vertical="center" wrapText="1"/>
    </xf>
    <xf borderId="56" fillId="25" fontId="16" numFmtId="0" xfId="0" applyBorder="1" applyFont="1"/>
    <xf borderId="57" fillId="0" fontId="3" numFmtId="0" xfId="0" applyBorder="1" applyFont="1"/>
    <xf borderId="58" fillId="0" fontId="3" numFmtId="0" xfId="0" applyBorder="1" applyFont="1"/>
    <xf borderId="0" fillId="0" fontId="32" numFmtId="0" xfId="0" applyAlignment="1" applyFont="1">
      <alignment horizontal="center" readingOrder="0"/>
    </xf>
    <xf borderId="0" fillId="0" fontId="33" numFmtId="0" xfId="0" applyFont="1"/>
    <xf borderId="0" fillId="0" fontId="33" numFmtId="0" xfId="0" applyAlignment="1" applyFont="1">
      <alignment horizontal="center"/>
    </xf>
    <xf borderId="0" fillId="0" fontId="34" numFmtId="0" xfId="0" applyAlignment="1" applyFont="1">
      <alignment horizontal="center"/>
    </xf>
    <xf borderId="0" fillId="0" fontId="35" numFmtId="0" xfId="0" applyAlignment="1" applyFont="1">
      <alignment horizontal="center"/>
    </xf>
    <xf borderId="0" fillId="0" fontId="36" numFmtId="0" xfId="0" applyAlignment="1" applyFont="1">
      <alignment shrinkToFit="0" wrapText="1"/>
    </xf>
    <xf borderId="0" fillId="7" fontId="5" numFmtId="0" xfId="0" applyAlignment="1" applyFont="1">
      <alignment readingOrder="0"/>
    </xf>
    <xf borderId="0" fillId="0" fontId="33" numFmtId="0" xfId="0" applyAlignment="1" applyFont="1">
      <alignment readingOrder="0"/>
    </xf>
    <xf borderId="0" fillId="0" fontId="33" numFmtId="0" xfId="0" applyAlignment="1" applyFont="1">
      <alignment horizontal="center" readingOrder="0"/>
    </xf>
    <xf borderId="0" fillId="0" fontId="35" numFmtId="0" xfId="0" applyAlignment="1" applyFont="1">
      <alignment horizontal="center" readingOrder="0"/>
    </xf>
    <xf borderId="0" fillId="2" fontId="33" numFmtId="0" xfId="0" applyFont="1"/>
    <xf borderId="0" fillId="0" fontId="36" numFmtId="0" xfId="0" applyAlignment="1" applyFont="1">
      <alignment readingOrder="0" shrinkToFit="0" wrapText="1"/>
    </xf>
    <xf borderId="0" fillId="0" fontId="32" numFmtId="0" xfId="0" applyAlignment="1" applyFont="1">
      <alignment horizontal="center"/>
    </xf>
    <xf borderId="0" fillId="0" fontId="35" numFmtId="0" xfId="0" applyFont="1"/>
    <xf borderId="59" fillId="24" fontId="31" numFmtId="0" xfId="0" applyAlignment="1" applyBorder="1" applyFont="1">
      <alignment horizontal="center" vertical="center"/>
    </xf>
    <xf borderId="56" fillId="30" fontId="16" numFmtId="0" xfId="0" applyAlignment="1" applyBorder="1" applyFill="1" applyFont="1">
      <alignment horizontal="center" vertical="center"/>
    </xf>
    <xf borderId="60" fillId="25" fontId="16" numFmtId="0" xfId="0" applyAlignment="1" applyBorder="1" applyFont="1">
      <alignment horizontal="center" vertical="center"/>
    </xf>
    <xf borderId="61" fillId="0" fontId="3" numFmtId="0" xfId="0" applyBorder="1" applyFont="1"/>
    <xf borderId="62" fillId="0" fontId="3" numFmtId="0" xfId="0" applyBorder="1" applyFont="1"/>
    <xf borderId="61" fillId="25" fontId="16" numFmtId="0" xfId="0" applyAlignment="1" applyBorder="1" applyFont="1">
      <alignment horizontal="center" vertical="center"/>
    </xf>
    <xf borderId="63" fillId="0" fontId="3" numFmtId="0" xfId="0" applyBorder="1" applyFont="1"/>
    <xf borderId="57" fillId="30" fontId="16" numFmtId="0" xfId="0" applyAlignment="1" applyBorder="1" applyFont="1">
      <alignment horizontal="center" vertical="center"/>
    </xf>
    <xf borderId="64" fillId="0" fontId="3" numFmtId="0" xfId="0" applyBorder="1" applyFont="1"/>
    <xf borderId="20" fillId="30" fontId="37" numFmtId="0" xfId="0" applyAlignment="1" applyBorder="1" applyFont="1">
      <alignment horizontal="center" shrinkToFit="0" vertical="center" wrapText="1"/>
    </xf>
    <xf borderId="65" fillId="30" fontId="37" numFmtId="0" xfId="0" applyAlignment="1" applyBorder="1" applyFont="1">
      <alignment horizontal="center" shrinkToFit="0" vertical="center" wrapText="1"/>
    </xf>
    <xf borderId="66" fillId="31" fontId="37" numFmtId="0" xfId="0" applyAlignment="1" applyBorder="1" applyFill="1" applyFont="1">
      <alignment horizontal="center" shrinkToFit="0" vertical="center" wrapText="1"/>
    </xf>
    <xf borderId="64" fillId="31" fontId="37" numFmtId="0" xfId="0" applyAlignment="1" applyBorder="1" applyFont="1">
      <alignment horizontal="center" shrinkToFit="0" vertical="center" wrapText="1"/>
    </xf>
    <xf borderId="67" fillId="31" fontId="37" numFmtId="0" xfId="0" applyAlignment="1" applyBorder="1" applyFont="1">
      <alignment horizontal="center" shrinkToFit="0" vertical="center" wrapText="1"/>
    </xf>
    <xf borderId="68" fillId="32" fontId="37" numFmtId="0" xfId="0" applyAlignment="1" applyBorder="1" applyFill="1" applyFont="1">
      <alignment horizontal="center" shrinkToFit="0" vertical="center" wrapText="1"/>
    </xf>
    <xf borderId="64" fillId="32" fontId="37" numFmtId="0" xfId="0" applyAlignment="1" applyBorder="1" applyFont="1">
      <alignment horizontal="center" shrinkToFit="0" vertical="center" wrapText="1"/>
    </xf>
    <xf borderId="67" fillId="32" fontId="37" numFmtId="0" xfId="0" applyAlignment="1" applyBorder="1" applyFont="1">
      <alignment horizontal="center" shrinkToFit="0" vertical="center" wrapText="1"/>
    </xf>
    <xf borderId="68" fillId="33" fontId="37" numFmtId="0" xfId="0" applyAlignment="1" applyBorder="1" applyFill="1" applyFont="1">
      <alignment horizontal="center" shrinkToFit="0" vertical="center" wrapText="1"/>
    </xf>
    <xf borderId="64" fillId="33" fontId="37" numFmtId="0" xfId="0" applyAlignment="1" applyBorder="1" applyFont="1">
      <alignment horizontal="center" shrinkToFit="0" vertical="center" wrapText="1"/>
    </xf>
    <xf borderId="69" fillId="33" fontId="37" numFmtId="0" xfId="0" applyAlignment="1" applyBorder="1" applyFont="1">
      <alignment horizontal="center" shrinkToFit="0" vertical="center" wrapText="1"/>
    </xf>
    <xf borderId="70" fillId="30" fontId="37" numFmtId="0" xfId="0" applyAlignment="1" applyBorder="1" applyFont="1">
      <alignment horizontal="center" shrinkToFit="0" vertical="center" wrapText="1"/>
    </xf>
    <xf borderId="71" fillId="0" fontId="5" numFmtId="0" xfId="0" applyBorder="1" applyFont="1"/>
    <xf borderId="46" fillId="2" fontId="35" numFmtId="0" xfId="0" applyBorder="1" applyFont="1"/>
    <xf borderId="72" fillId="2" fontId="35" numFmtId="0" xfId="0" applyBorder="1" applyFont="1"/>
    <xf borderId="73" fillId="2" fontId="38" numFmtId="0" xfId="0" applyAlignment="1" applyBorder="1" applyFont="1">
      <alignment horizontal="center"/>
    </xf>
    <xf borderId="74" fillId="2" fontId="39" numFmtId="0" xfId="0" applyAlignment="1" applyBorder="1" applyFont="1">
      <alignment horizontal="center"/>
    </xf>
    <xf borderId="75" fillId="2" fontId="38" numFmtId="0" xfId="0" applyAlignment="1" applyBorder="1" applyFont="1">
      <alignment horizontal="center"/>
    </xf>
    <xf borderId="76" fillId="5" fontId="40" numFmtId="0" xfId="0" applyAlignment="1" applyBorder="1" applyFont="1">
      <alignment horizontal="center"/>
    </xf>
    <xf borderId="77" fillId="2" fontId="38" numFmtId="0" xfId="0" applyAlignment="1" applyBorder="1" applyFont="1">
      <alignment horizontal="center"/>
    </xf>
    <xf borderId="76" fillId="2" fontId="39" numFmtId="0" xfId="0" applyAlignment="1" applyBorder="1" applyFont="1">
      <alignment horizontal="center"/>
    </xf>
    <xf borderId="77" fillId="2" fontId="41" numFmtId="0" xfId="0" applyBorder="1" applyFont="1"/>
    <xf borderId="73" fillId="2" fontId="41" numFmtId="0" xfId="0" applyBorder="1" applyFont="1"/>
    <xf borderId="78" fillId="2" fontId="41" numFmtId="0" xfId="0" applyAlignment="1" applyBorder="1" applyFont="1">
      <alignment horizontal="center"/>
    </xf>
    <xf borderId="72" fillId="2" fontId="41" numFmtId="0" xfId="0" applyBorder="1" applyFont="1"/>
    <xf borderId="73" fillId="2" fontId="41" numFmtId="0" xfId="0" applyAlignment="1" applyBorder="1" applyFont="1">
      <alignment horizontal="center"/>
    </xf>
    <xf borderId="46" fillId="0" fontId="3" numFmtId="0" xfId="0" applyBorder="1" applyFont="1"/>
    <xf borderId="0" fillId="6" fontId="33" numFmtId="0" xfId="0" applyFont="1"/>
    <xf borderId="0" fillId="6" fontId="41" numFmtId="0" xfId="0" applyAlignment="1" applyFont="1">
      <alignment horizontal="center"/>
    </xf>
    <xf borderId="79" fillId="6" fontId="38" numFmtId="0" xfId="0" applyAlignment="1" applyBorder="1" applyFont="1">
      <alignment horizontal="center"/>
    </xf>
    <xf borderId="0" fillId="6" fontId="38" numFmtId="0" xfId="0" applyAlignment="1" applyFont="1">
      <alignment horizontal="center"/>
    </xf>
    <xf borderId="80" fillId="6" fontId="39" numFmtId="0" xfId="0" applyAlignment="1" applyBorder="1" applyFont="1">
      <alignment horizontal="center"/>
    </xf>
    <xf borderId="81" fillId="6" fontId="38" numFmtId="0" xfId="0" applyAlignment="1" applyBorder="1" applyFont="1">
      <alignment horizontal="center"/>
    </xf>
    <xf borderId="82" fillId="5" fontId="40" numFmtId="0" xfId="0" applyAlignment="1" applyBorder="1" applyFont="1">
      <alignment horizontal="center"/>
    </xf>
    <xf borderId="83" fillId="6" fontId="39" numFmtId="0" xfId="0" applyAlignment="1" applyBorder="1" applyFont="1">
      <alignment horizontal="center"/>
    </xf>
    <xf borderId="0" fillId="2" fontId="38" numFmtId="0" xfId="0" applyAlignment="1" applyFont="1">
      <alignment horizontal="center"/>
    </xf>
    <xf borderId="0" fillId="2" fontId="39" numFmtId="0" xfId="0" applyAlignment="1" applyFont="1">
      <alignment horizontal="center"/>
    </xf>
    <xf borderId="79" fillId="2" fontId="38" numFmtId="0" xfId="0" applyAlignment="1" applyBorder="1" applyFont="1">
      <alignment horizontal="center"/>
    </xf>
    <xf borderId="81" fillId="2" fontId="38" numFmtId="0" xfId="0" applyAlignment="1" applyBorder="1" applyFont="1">
      <alignment horizontal="center"/>
    </xf>
    <xf borderId="80" fillId="2" fontId="39" numFmtId="0" xfId="0" applyAlignment="1" applyBorder="1" applyFont="1">
      <alignment horizontal="center"/>
    </xf>
    <xf borderId="81" fillId="2" fontId="5" numFmtId="0" xfId="0" applyBorder="1" applyFont="1"/>
    <xf borderId="83" fillId="2" fontId="41" numFmtId="0" xfId="0" applyAlignment="1" applyBorder="1" applyFont="1">
      <alignment horizontal="center"/>
    </xf>
    <xf borderId="0" fillId="2" fontId="41" numFmtId="0" xfId="0" applyAlignment="1" applyFont="1">
      <alignment horizontal="center"/>
    </xf>
    <xf borderId="84" fillId="5" fontId="40" numFmtId="0" xfId="0" applyAlignment="1" applyBorder="1" applyFont="1">
      <alignment horizontal="center"/>
    </xf>
    <xf borderId="0" fillId="6" fontId="39" numFmtId="0" xfId="0" applyAlignment="1" applyFont="1">
      <alignment horizontal="center"/>
    </xf>
    <xf borderId="83" fillId="2" fontId="39" numFmtId="0" xfId="0" applyAlignment="1" applyBorder="1" applyFont="1">
      <alignment horizontal="center"/>
    </xf>
    <xf borderId="81" fillId="6" fontId="5" numFmtId="0" xfId="0" applyBorder="1" applyFont="1"/>
    <xf borderId="83" fillId="6" fontId="41" numFmtId="0" xfId="0" applyAlignment="1" applyBorder="1" applyFont="1">
      <alignment horizontal="center"/>
    </xf>
    <xf borderId="45" fillId="0" fontId="3" numFmtId="0" xfId="0" applyBorder="1" applyFont="1"/>
    <xf borderId="12" fillId="2" fontId="33" numFmtId="0" xfId="0" applyBorder="1" applyFont="1"/>
    <xf borderId="12" fillId="2" fontId="38" numFmtId="0" xfId="0" applyAlignment="1" applyBorder="1" applyFont="1">
      <alignment horizontal="center"/>
    </xf>
    <xf borderId="12" fillId="2" fontId="39" numFmtId="0" xfId="0" applyAlignment="1" applyBorder="1" applyFont="1">
      <alignment horizontal="center"/>
    </xf>
    <xf borderId="85" fillId="2" fontId="38" numFmtId="0" xfId="0" applyAlignment="1" applyBorder="1" applyFont="1">
      <alignment horizontal="center"/>
    </xf>
    <xf borderId="86" fillId="5" fontId="40" numFmtId="0" xfId="0" applyAlignment="1" applyBorder="1" applyFont="1">
      <alignment horizontal="center"/>
    </xf>
    <xf borderId="87" fillId="2" fontId="38" numFmtId="0" xfId="0" applyAlignment="1" applyBorder="1" applyFont="1">
      <alignment horizontal="center"/>
    </xf>
    <xf borderId="88" fillId="2" fontId="39" numFmtId="0" xfId="0" applyAlignment="1" applyBorder="1" applyFont="1">
      <alignment horizontal="center"/>
    </xf>
    <xf borderId="87" fillId="2" fontId="5" numFmtId="0" xfId="0" applyBorder="1" applyFont="1"/>
    <xf borderId="12" fillId="2" fontId="5" numFmtId="0" xfId="0" applyBorder="1" applyFont="1"/>
    <xf borderId="89" fillId="2" fontId="41" numFmtId="0" xfId="0" applyAlignment="1" applyBorder="1" applyFont="1">
      <alignment horizontal="center"/>
    </xf>
    <xf borderId="12" fillId="2" fontId="41" numFmtId="0" xfId="0" applyAlignment="1" applyBorder="1" applyFont="1">
      <alignment horizontal="center"/>
    </xf>
    <xf borderId="46" fillId="6" fontId="35" numFmtId="0" xfId="0" applyBorder="1" applyFont="1"/>
    <xf borderId="72" fillId="6" fontId="35" numFmtId="0" xfId="0" applyBorder="1" applyFont="1"/>
    <xf borderId="73" fillId="6" fontId="38" numFmtId="0" xfId="0" applyAlignment="1" applyBorder="1" applyFont="1">
      <alignment horizontal="center"/>
    </xf>
    <xf borderId="74" fillId="6" fontId="39" numFmtId="0" xfId="0" applyAlignment="1" applyBorder="1" applyFont="1">
      <alignment horizontal="center"/>
    </xf>
    <xf borderId="75" fillId="6" fontId="38" numFmtId="0" xfId="0" applyAlignment="1" applyBorder="1" applyFont="1">
      <alignment horizontal="center"/>
    </xf>
    <xf borderId="77" fillId="6" fontId="38" numFmtId="0" xfId="0" applyAlignment="1" applyBorder="1" applyFont="1">
      <alignment horizontal="center"/>
    </xf>
    <xf borderId="76" fillId="6" fontId="39" numFmtId="0" xfId="0" applyAlignment="1" applyBorder="1" applyFont="1">
      <alignment horizontal="center"/>
    </xf>
    <xf borderId="77" fillId="6" fontId="41" numFmtId="0" xfId="0" applyBorder="1" applyFont="1"/>
    <xf borderId="73" fillId="6" fontId="41" numFmtId="0" xfId="0" applyBorder="1" applyFont="1"/>
    <xf borderId="78" fillId="6" fontId="41" numFmtId="0" xfId="0" applyAlignment="1" applyBorder="1" applyFont="1">
      <alignment horizontal="center"/>
    </xf>
    <xf borderId="72" fillId="6" fontId="41" numFmtId="0" xfId="0" applyBorder="1" applyFont="1"/>
    <xf borderId="73" fillId="6" fontId="41" numFmtId="0" xfId="0" applyAlignment="1" applyBorder="1" applyFont="1">
      <alignment horizontal="center"/>
    </xf>
    <xf borderId="90" fillId="5" fontId="40" numFmtId="0" xfId="0" applyAlignment="1" applyBorder="1" applyFont="1">
      <alignment horizontal="center"/>
    </xf>
    <xf borderId="88" fillId="2" fontId="41" numFmtId="0" xfId="0" applyAlignment="1" applyBorder="1" applyFont="1">
      <alignment horizontal="center"/>
    </xf>
    <xf borderId="45" fillId="6" fontId="35" numFmtId="0" xfId="0" applyBorder="1" applyFont="1"/>
    <xf borderId="91" fillId="6" fontId="35" numFmtId="0" xfId="0" applyBorder="1" applyFont="1"/>
    <xf borderId="92" fillId="6" fontId="38" numFmtId="0" xfId="0" applyAlignment="1" applyBorder="1" applyFont="1">
      <alignment horizontal="center"/>
    </xf>
    <xf borderId="93" fillId="6" fontId="39" numFmtId="0" xfId="0" applyAlignment="1" applyBorder="1" applyFont="1">
      <alignment horizontal="center"/>
    </xf>
    <xf borderId="94" fillId="6" fontId="38" numFmtId="0" xfId="0" applyAlignment="1" applyBorder="1" applyFont="1">
      <alignment horizontal="center"/>
    </xf>
    <xf borderId="95" fillId="5" fontId="40" numFmtId="0" xfId="0" applyAlignment="1" applyBorder="1" applyFont="1">
      <alignment horizontal="center"/>
    </xf>
    <xf borderId="96" fillId="6" fontId="38" numFmtId="0" xfId="0" applyAlignment="1" applyBorder="1" applyFont="1">
      <alignment horizontal="center"/>
    </xf>
    <xf borderId="95" fillId="6" fontId="39" numFmtId="0" xfId="0" applyAlignment="1" applyBorder="1" applyFont="1">
      <alignment horizontal="center"/>
    </xf>
    <xf borderId="96" fillId="6" fontId="41" numFmtId="0" xfId="0" applyBorder="1" applyFont="1"/>
    <xf borderId="92" fillId="6" fontId="41" numFmtId="0" xfId="0" applyBorder="1" applyFont="1"/>
    <xf borderId="97" fillId="6" fontId="41" numFmtId="0" xfId="0" applyAlignment="1" applyBorder="1" applyFont="1">
      <alignment horizontal="center"/>
    </xf>
    <xf borderId="91" fillId="6" fontId="41" numFmtId="0" xfId="0" applyBorder="1" applyFont="1"/>
    <xf borderId="92" fillId="6" fontId="41" numFmtId="0" xfId="0" applyAlignment="1" applyBorder="1" applyFont="1">
      <alignment horizontal="center"/>
    </xf>
    <xf borderId="12" fillId="6" fontId="5" numFmtId="0" xfId="0" applyBorder="1" applyFont="1"/>
    <xf borderId="45" fillId="2" fontId="35" numFmtId="0" xfId="0" applyBorder="1" applyFont="1"/>
    <xf borderId="91" fillId="2" fontId="35" numFmtId="0" xfId="0" applyBorder="1" applyFont="1"/>
    <xf borderId="92" fillId="2" fontId="38" numFmtId="0" xfId="0" applyAlignment="1" applyBorder="1" applyFont="1">
      <alignment horizontal="center"/>
    </xf>
    <xf borderId="93" fillId="2" fontId="39" numFmtId="0" xfId="0" applyAlignment="1" applyBorder="1" applyFont="1">
      <alignment horizontal="center"/>
    </xf>
    <xf borderId="94" fillId="2" fontId="38" numFmtId="0" xfId="0" applyAlignment="1" applyBorder="1" applyFont="1">
      <alignment horizontal="center"/>
    </xf>
    <xf borderId="96" fillId="2" fontId="38" numFmtId="0" xfId="0" applyAlignment="1" applyBorder="1" applyFont="1">
      <alignment horizontal="center"/>
    </xf>
    <xf borderId="95" fillId="2" fontId="39" numFmtId="0" xfId="0" applyAlignment="1" applyBorder="1" applyFont="1">
      <alignment horizontal="center"/>
    </xf>
    <xf borderId="96" fillId="2" fontId="41" numFmtId="0" xfId="0" applyBorder="1" applyFont="1"/>
    <xf borderId="92" fillId="2" fontId="41" numFmtId="0" xfId="0" applyBorder="1" applyFont="1"/>
    <xf borderId="97" fillId="2" fontId="41" numFmtId="0" xfId="0" applyAlignment="1" applyBorder="1" applyFont="1">
      <alignment horizontal="center"/>
    </xf>
    <xf borderId="91" fillId="2" fontId="41" numFmtId="0" xfId="0" applyBorder="1" applyFont="1"/>
    <xf borderId="92" fillId="2" fontId="41" numFmtId="0" xfId="0" applyAlignment="1" applyBorder="1" applyFont="1">
      <alignment horizontal="center"/>
    </xf>
    <xf borderId="74" fillId="6" fontId="41" numFmtId="0" xfId="0" applyAlignment="1" applyBorder="1" applyFont="1">
      <alignment horizontal="center"/>
    </xf>
    <xf borderId="78" fillId="6" fontId="39" numFmtId="0" xfId="0" applyAlignment="1" applyBorder="1" applyFont="1">
      <alignment horizontal="center"/>
    </xf>
    <xf borderId="98" fillId="5" fontId="40" numFmtId="0" xfId="0" applyAlignment="1" applyBorder="1" applyFont="1">
      <alignment horizontal="center"/>
    </xf>
    <xf borderId="93" fillId="6" fontId="41" numFmtId="0" xfId="0" applyAlignment="1" applyBorder="1" applyFont="1">
      <alignment horizontal="center"/>
    </xf>
    <xf borderId="94" fillId="6" fontId="41" numFmtId="0" xfId="0" applyBorder="1" applyFont="1"/>
    <xf borderId="95" fillId="6" fontId="41" numFmtId="0" xfId="0" applyAlignment="1" applyBorder="1" applyFont="1">
      <alignment horizontal="center"/>
    </xf>
    <xf borderId="97" fillId="5" fontId="40" numFmtId="0" xfId="0" applyAlignment="1" applyBorder="1" applyFont="1">
      <alignment horizontal="center"/>
    </xf>
    <xf borderId="91" fillId="6" fontId="38" numFmtId="0" xfId="0" applyAlignment="1" applyBorder="1" applyFont="1">
      <alignment horizontal="center"/>
    </xf>
    <xf borderId="92" fillId="6" fontId="39" numFmtId="0" xfId="0" applyAlignment="1" applyBorder="1" applyFont="1">
      <alignment horizontal="center"/>
    </xf>
    <xf borderId="93" fillId="2" fontId="41" numFmtId="0" xfId="0" applyAlignment="1" applyBorder="1" applyFont="1">
      <alignment horizontal="center"/>
    </xf>
    <xf borderId="91" fillId="2" fontId="38" numFmtId="0" xfId="0" applyAlignment="1" applyBorder="1" applyFont="1">
      <alignment horizontal="center"/>
    </xf>
    <xf borderId="92" fillId="2" fontId="39" numFmtId="0" xfId="0" applyAlignment="1" applyBorder="1" applyFont="1">
      <alignment horizontal="center"/>
    </xf>
    <xf borderId="85" fillId="2" fontId="5" numFmtId="0" xfId="0" applyBorder="1" applyFont="1"/>
    <xf borderId="97" fillId="6" fontId="39" numFmtId="0" xfId="0" applyAlignment="1" applyBorder="1" applyFont="1">
      <alignment horizontal="center"/>
    </xf>
    <xf borderId="97" fillId="2" fontId="39" numFmtId="0" xfId="0" applyAlignment="1" applyBorder="1" applyFont="1">
      <alignment horizontal="center"/>
    </xf>
    <xf borderId="93" fillId="5" fontId="40" numFmtId="0" xfId="0" applyAlignment="1" applyBorder="1" applyFont="1">
      <alignment horizontal="center"/>
    </xf>
    <xf borderId="99" fillId="6" fontId="35" numFmtId="0" xfId="0" applyBorder="1" applyFont="1"/>
    <xf borderId="74" fillId="5" fontId="40" numFmtId="0" xfId="0" applyAlignment="1" applyBorder="1" applyFont="1">
      <alignment horizontal="center"/>
    </xf>
    <xf borderId="100" fillId="6" fontId="38" numFmtId="0" xfId="0" applyAlignment="1" applyBorder="1" applyFont="1">
      <alignment horizontal="center"/>
    </xf>
    <xf borderId="101" fillId="6" fontId="38" numFmtId="0" xfId="0" applyAlignment="1" applyBorder="1" applyFont="1">
      <alignment horizontal="center"/>
    </xf>
    <xf borderId="102" fillId="6" fontId="39" numFmtId="0" xfId="0" applyAlignment="1" applyBorder="1" applyFont="1">
      <alignment horizontal="center"/>
    </xf>
    <xf borderId="103" fillId="6" fontId="41" numFmtId="0" xfId="0" applyBorder="1" applyFont="1"/>
    <xf borderId="101" fillId="6" fontId="41" numFmtId="0" xfId="0" applyBorder="1" applyFont="1"/>
    <xf borderId="102" fillId="6" fontId="41" numFmtId="0" xfId="0" applyAlignment="1" applyBorder="1" applyFont="1">
      <alignment horizontal="center"/>
    </xf>
    <xf borderId="104" fillId="6" fontId="41" numFmtId="0" xfId="0" applyAlignment="1" applyBorder="1" applyFont="1">
      <alignment horizontal="center"/>
    </xf>
    <xf borderId="0" fillId="0" fontId="42" numFmtId="0" xfId="0" applyFont="1"/>
    <xf borderId="0" fillId="0" fontId="34" numFmtId="0" xfId="0" applyFont="1"/>
    <xf borderId="0" fillId="0" fontId="34" numFmtId="0" xfId="0" applyAlignment="1" applyFont="1">
      <alignment readingOrder="0"/>
    </xf>
    <xf borderId="0" fillId="0" fontId="5" numFmtId="165" xfId="0" applyAlignment="1" applyFont="1" applyNumberFormat="1">
      <alignment readingOrder="0"/>
    </xf>
    <xf borderId="0" fillId="0" fontId="34" numFmtId="0" xfId="0" applyAlignment="1" applyFont="1">
      <alignment vertical="bottom"/>
    </xf>
    <xf borderId="0" fillId="0" fontId="4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ozon.ru/product/takebox-paket-doy-pak-20x30-sm-3583862773/?from_sku=3583862063&amp;oos_search=false" TargetMode="External"/><Relationship Id="rId11" Type="http://schemas.openxmlformats.org/officeDocument/2006/relationships/hyperlink" Target="https://bioabsolut.ru/cubstrat-dlya-orhidej-effect-otbornaya-galtovannaya-kora-15mm-2l.html" TargetMode="External"/><Relationship Id="rId22" Type="http://schemas.openxmlformats.org/officeDocument/2006/relationships/hyperlink" Target="https://axelpack.ru/gofroupakovka-fefco-0427-200-200-100" TargetMode="External"/><Relationship Id="rId10" Type="http://schemas.openxmlformats.org/officeDocument/2006/relationships/hyperlink" Target="https://www.ozon.ru/product/penosteklo-10-l-fraktsiya-5-10-mm-1995294238/" TargetMode="External"/><Relationship Id="rId21" Type="http://schemas.openxmlformats.org/officeDocument/2006/relationships/hyperlink" Target="https://axelpack.ru/gofroupakovka-fefco-0427-160-160-80" TargetMode="External"/><Relationship Id="rId13" Type="http://schemas.openxmlformats.org/officeDocument/2006/relationships/hyperlink" Target="https://www.ozon.ru/product/kvartsevyy-pesok-graviy-zernistyy-dlya-zasypnyh-filtrov-2-5-mm-10-kg-3016076604/?at=46tRWZWL5TOg931vIGB9pYMc6mmR5rC1nyLPzh4BwGNm" TargetMode="External"/><Relationship Id="rId24" Type="http://schemas.openxmlformats.org/officeDocument/2006/relationships/drawing" Target="../drawings/drawing5.xml"/><Relationship Id="rId12" Type="http://schemas.openxmlformats.org/officeDocument/2006/relationships/hyperlink" Target="https://bioabsolut.ru/cubstrat-dlya-orhidej-effect-otbornaya-galtovannaya-kora-23mm-2l.html" TargetMode="External"/><Relationship Id="rId23" Type="http://schemas.openxmlformats.org/officeDocument/2006/relationships/hyperlink" Target="https://axelpack.ru/gofroupakovka-fefco-0427-250-250-100" TargetMode="External"/><Relationship Id="rId1" Type="http://schemas.openxmlformats.org/officeDocument/2006/relationships/hyperlink" Target="https://www.ozon.ru/product/torf-verhovoy-ph-5-5-6-neytralizovannyy-50-l-167192648/?_bctx=CAkQwpq3Gw&amp;at=K8tZwMk1zI7KOxRZcg7ZJ7Gtm8RKQLtn37pQru6ALMo2" TargetMode="External"/><Relationship Id="rId2" Type="http://schemas.openxmlformats.org/officeDocument/2006/relationships/hyperlink" Target="https://www.ozon.ru/product/torf-verhovoy-ph-2-5-3-5-kislyy-10-l-309908812/?at=DqtDmJZxNcEJV3gxc4yGv4NFngZ122crlDqP0Sj07j5E&amp;from_sku=167192649&amp;oos_search=false" TargetMode="External"/><Relationship Id="rId3" Type="http://schemas.openxmlformats.org/officeDocument/2006/relationships/hyperlink" Target="https://www.ozon.ru/product/substrat-coco-mix-biobizz-50-l-790648102/" TargetMode="External"/><Relationship Id="rId4" Type="http://schemas.openxmlformats.org/officeDocument/2006/relationships/hyperlink" Target="https://bioabsolut.ru/kokosovye-chipsy-bioabsolut-dlya-rastenij.html" TargetMode="External"/><Relationship Id="rId9" Type="http://schemas.openxmlformats.org/officeDocument/2006/relationships/hyperlink" Target="https://bioabsolut.ru/biogumus-dlya-rastenij-bioabsolut.html" TargetMode="External"/><Relationship Id="rId15" Type="http://schemas.openxmlformats.org/officeDocument/2006/relationships/hyperlink" Target="https://www.ozon.ru/product/keramzit-dlya-rasteniy-i-tsvetov-hury-10-20-mm-24l-drenazh-2379141177/?at=36tWMj37LhE0q2RLcLRZN5ZC8nxXMAhzKk0mLCl25VnK&amp;from_sku=1550494697&amp;oos_search=false" TargetMode="External"/><Relationship Id="rId14" Type="http://schemas.openxmlformats.org/officeDocument/2006/relationships/hyperlink" Target="https://www.ozon.ru/product/keramzit-dlya-rasteniy-i-tsvetov-hury-5-10-mm-24l-drenazh-2353082569/?at=36tWMj37LhE0q2RLcLRZN5ZC8nxXMAhzKk0mLCl25VnK&amp;from_sku=1550494697&amp;oos_search=false" TargetMode="External"/><Relationship Id="rId17" Type="http://schemas.openxmlformats.org/officeDocument/2006/relationships/hyperlink" Target="https://www.ozon.ru/product/lama-torf-kornevin-dlya-rasteniy-stimulyator-rosta-kornevoy-sistemy-10-sht-po-5-g-3492541872/" TargetMode="External"/><Relationship Id="rId16" Type="http://schemas.openxmlformats.org/officeDocument/2006/relationships/hyperlink" Target="https://www.ozon.ru/my/orderdetails/?order=0248007509-0012" TargetMode="External"/><Relationship Id="rId5" Type="http://schemas.openxmlformats.org/officeDocument/2006/relationships/hyperlink" Target="https://www.ozon.ru/product/diatomit-premium-10-l-sadovyy-pochvouluchshitel-organik-763402267/?at=08tYWkw0McRgB24AcyjA9z8ixmJpE1cZD7NKKumOO4Yk" TargetMode="External"/><Relationship Id="rId19" Type="http://schemas.openxmlformats.org/officeDocument/2006/relationships/hyperlink" Target="https://www.ozon.ru/product/takebox-paket-doy-pak-16x26-sm-3583861524/?from_sku=3583862063&amp;oos_search=false" TargetMode="External"/><Relationship Id="rId6" Type="http://schemas.openxmlformats.org/officeDocument/2006/relationships/hyperlink" Target="https://www.ozon.ru/product/tseolit-vulkanicheskiy-dlya-rasteniy-10-litrov-2450253455/?at=gpt4WqZ5mIPyWPLqSQ6zDMEH3zLEnwcXwly97I47PjDw&amp;from_sku=2450021403&amp;oos_search=false" TargetMode="External"/><Relationship Id="rId18" Type="http://schemas.openxmlformats.org/officeDocument/2006/relationships/hyperlink" Target="https://www.ozon.ru/product/takebox-paket-doy-pak-12x22-sm-3583862063/" TargetMode="External"/><Relationship Id="rId7" Type="http://schemas.openxmlformats.org/officeDocument/2006/relationships/hyperlink" Target="https://www.ozon.ru/product/grunt-dlya-tsvetov-moh-sfagnum-sphagnum-eco-otbornyy-nasypnoy-obem-12-l-722297774/?at=nRtrLXNpKCZWV3vCJKRrrgc2QKBKEuDqpKByimgwqog&amp;from_sku=1232520061&amp;oos_search=false" TargetMode="External"/><Relationship Id="rId8" Type="http://schemas.openxmlformats.org/officeDocument/2006/relationships/hyperlink" Target="https://www.ozon.ru/product/drevesnyy-ugol-dlya-rasteniy-5l-2089930463/?at=pZtpL93EvTX2Nx4milKvrAWcmj7jj5fXyo64lSJjrzo7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1.88"/>
    <col customWidth="1" min="2" max="2" width="29.63"/>
    <col customWidth="1" min="4" max="4" width="13.0"/>
  </cols>
  <sheetData>
    <row r="1" ht="49.5" customHeight="1">
      <c r="A1" s="1"/>
      <c r="C1" s="2" t="s">
        <v>0</v>
      </c>
      <c r="E1" s="3"/>
      <c r="F1" s="4" t="s">
        <v>1</v>
      </c>
      <c r="H1" s="3"/>
      <c r="I1" s="5" t="s">
        <v>2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ht="70.5" customHeight="1">
      <c r="A2" s="7"/>
      <c r="C2" s="8" t="s">
        <v>3</v>
      </c>
    </row>
    <row r="3">
      <c r="A3" s="9" t="s">
        <v>4</v>
      </c>
      <c r="C3" s="10" t="s">
        <v>5</v>
      </c>
      <c r="D3" s="9" t="s">
        <v>6</v>
      </c>
      <c r="E3" s="11" t="s">
        <v>7</v>
      </c>
      <c r="F3" s="10" t="s">
        <v>5</v>
      </c>
      <c r="G3" s="9" t="s">
        <v>6</v>
      </c>
      <c r="H3" s="11" t="s">
        <v>7</v>
      </c>
      <c r="I3" s="10" t="s">
        <v>5</v>
      </c>
      <c r="J3" s="9" t="s">
        <v>6</v>
      </c>
      <c r="K3" s="11" t="s">
        <v>7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37.5" customHeight="1">
      <c r="A4" s="12" t="s">
        <v>8</v>
      </c>
      <c r="B4" s="13"/>
      <c r="C4" s="14"/>
      <c r="E4" s="3"/>
      <c r="F4" s="14"/>
      <c r="H4" s="3"/>
      <c r="I4" s="14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5">
      <c r="A5" s="15" t="s">
        <v>9</v>
      </c>
      <c r="B5" s="16" t="s">
        <v>10</v>
      </c>
      <c r="C5" s="17"/>
      <c r="D5" s="6"/>
      <c r="E5" s="18"/>
      <c r="F5" s="19"/>
      <c r="G5" s="20"/>
      <c r="H5" s="21"/>
      <c r="I5" s="22"/>
      <c r="J5" s="20"/>
      <c r="K5" s="22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B6" s="23" t="s">
        <v>11</v>
      </c>
      <c r="C6" s="24"/>
      <c r="D6" s="25"/>
      <c r="E6" s="26"/>
      <c r="F6" s="27"/>
      <c r="G6" s="28"/>
      <c r="H6" s="29"/>
      <c r="I6" s="30"/>
      <c r="J6" s="28"/>
      <c r="K6" s="30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</row>
    <row r="7">
      <c r="B7" s="31" t="s">
        <v>12</v>
      </c>
      <c r="C7" s="17"/>
      <c r="D7" s="6"/>
      <c r="E7" s="18"/>
      <c r="F7" s="22"/>
      <c r="G7" s="32"/>
      <c r="H7" s="21"/>
      <c r="I7" s="22"/>
      <c r="J7" s="20"/>
      <c r="K7" s="19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B8" s="33" t="s">
        <v>13</v>
      </c>
      <c r="C8" s="24"/>
      <c r="D8" s="25"/>
      <c r="E8" s="26"/>
      <c r="F8" s="30"/>
      <c r="G8" s="28"/>
      <c r="H8" s="34"/>
      <c r="I8" s="30"/>
      <c r="J8" s="35"/>
      <c r="K8" s="30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</row>
    <row r="9">
      <c r="B9" s="36" t="s">
        <v>14</v>
      </c>
      <c r="C9" s="17"/>
      <c r="D9" s="6"/>
      <c r="E9" s="18"/>
      <c r="F9" s="22"/>
      <c r="G9" s="20"/>
      <c r="H9" s="21"/>
      <c r="I9" s="19"/>
      <c r="J9" s="20"/>
      <c r="K9" s="22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B10" s="37" t="s">
        <v>15</v>
      </c>
      <c r="C10" s="24"/>
      <c r="D10" s="25"/>
      <c r="E10" s="26"/>
      <c r="F10" s="30"/>
      <c r="G10" s="28"/>
      <c r="H10" s="34"/>
      <c r="I10" s="30"/>
      <c r="J10" s="35"/>
      <c r="K10" s="30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</row>
    <row r="11">
      <c r="B11" s="38" t="s">
        <v>16</v>
      </c>
      <c r="C11" s="17"/>
      <c r="D11" s="6"/>
      <c r="E11" s="18"/>
      <c r="F11" s="22"/>
      <c r="G11" s="39"/>
      <c r="H11" s="40"/>
      <c r="I11" s="19"/>
      <c r="J11" s="20"/>
      <c r="K11" s="19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B12" s="38" t="s">
        <v>17</v>
      </c>
      <c r="C12" s="17"/>
      <c r="D12" s="6"/>
      <c r="E12" s="18"/>
      <c r="F12" s="22"/>
      <c r="G12" s="39"/>
      <c r="H12" s="40"/>
      <c r="I12" s="41"/>
      <c r="J12" s="20"/>
      <c r="K12" s="19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>
      <c r="B13" s="42" t="s">
        <v>18</v>
      </c>
      <c r="C13" s="24"/>
      <c r="D13" s="25"/>
      <c r="E13" s="26"/>
      <c r="F13" s="30"/>
      <c r="G13" s="43"/>
      <c r="H13" s="44"/>
      <c r="I13" s="45"/>
      <c r="J13" s="28"/>
      <c r="K13" s="27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</row>
    <row r="14">
      <c r="B14" s="46" t="s">
        <v>19</v>
      </c>
      <c r="C14" s="17"/>
      <c r="D14" s="6"/>
      <c r="E14" s="18"/>
      <c r="F14" s="22"/>
      <c r="G14" s="32"/>
      <c r="H14" s="21"/>
      <c r="I14" s="22"/>
      <c r="J14" s="20"/>
      <c r="K14" s="1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B15" s="46" t="s">
        <v>20</v>
      </c>
      <c r="C15" s="17"/>
      <c r="D15" s="6"/>
      <c r="E15" s="18"/>
      <c r="F15" s="17"/>
      <c r="G15" s="1"/>
      <c r="H15" s="18"/>
      <c r="I15" s="17"/>
      <c r="J15" s="6"/>
      <c r="K15" s="17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B16" s="47" t="s">
        <v>21</v>
      </c>
      <c r="C16" s="24"/>
      <c r="D16" s="25"/>
      <c r="E16" s="26"/>
      <c r="F16" s="24"/>
      <c r="G16" s="25"/>
      <c r="H16" s="26"/>
      <c r="I16" s="24"/>
      <c r="J16" s="25"/>
      <c r="K16" s="24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</row>
    <row r="17">
      <c r="B17" s="48" t="s">
        <v>22</v>
      </c>
      <c r="C17" s="17"/>
      <c r="D17" s="6"/>
      <c r="E17" s="18"/>
      <c r="F17" s="17"/>
      <c r="G17" s="6"/>
      <c r="H17" s="18"/>
      <c r="I17" s="17"/>
      <c r="J17" s="6"/>
      <c r="K17" s="17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B18" s="49" t="s">
        <v>23</v>
      </c>
      <c r="C18" s="24"/>
      <c r="D18" s="25"/>
      <c r="E18" s="26"/>
      <c r="F18" s="24"/>
      <c r="G18" s="25"/>
      <c r="H18" s="26"/>
      <c r="I18" s="24"/>
      <c r="J18" s="25"/>
      <c r="K18" s="24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</row>
    <row r="19">
      <c r="B19" s="50" t="s">
        <v>24</v>
      </c>
      <c r="C19" s="17"/>
      <c r="D19" s="6"/>
      <c r="E19" s="18"/>
      <c r="F19" s="17"/>
      <c r="G19" s="6"/>
      <c r="H19" s="18"/>
      <c r="I19" s="17"/>
      <c r="J19" s="6"/>
      <c r="K19" s="17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B20" s="50" t="s">
        <v>25</v>
      </c>
      <c r="C20" s="17"/>
      <c r="D20" s="6"/>
      <c r="E20" s="18"/>
      <c r="F20" s="17"/>
      <c r="G20" s="6"/>
      <c r="H20" s="18"/>
      <c r="I20" s="17"/>
      <c r="J20" s="6"/>
      <c r="K20" s="17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ht="70.5" customHeight="1">
      <c r="A21" s="51"/>
      <c r="C21" s="52" t="s">
        <v>26</v>
      </c>
    </row>
    <row r="22" ht="49.5" customHeight="1">
      <c r="A22" s="53" t="s">
        <v>27</v>
      </c>
      <c r="C22" s="54">
        <f>C24+C66+C73+C75+C89</f>
        <v>332644.12</v>
      </c>
      <c r="F22" s="55"/>
      <c r="I22" s="55"/>
      <c r="J22" s="56"/>
      <c r="K22" s="55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</row>
    <row r="23" ht="45.75" customHeight="1">
      <c r="A23" s="1" t="s">
        <v>28</v>
      </c>
      <c r="C23" s="10" t="s">
        <v>5</v>
      </c>
      <c r="D23" s="9" t="s">
        <v>29</v>
      </c>
      <c r="E23" s="57" t="s">
        <v>7</v>
      </c>
      <c r="F23" s="10" t="s">
        <v>5</v>
      </c>
      <c r="G23" s="9" t="s">
        <v>6</v>
      </c>
      <c r="H23" s="11" t="s">
        <v>7</v>
      </c>
      <c r="I23" s="10" t="s">
        <v>5</v>
      </c>
      <c r="J23" s="9" t="s">
        <v>6</v>
      </c>
      <c r="K23" s="11" t="s">
        <v>7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ht="36.0" customHeight="1">
      <c r="A24" s="12" t="s">
        <v>30</v>
      </c>
      <c r="B24" s="13"/>
      <c r="C24" s="58">
        <f>SUM(E25:E58,C65)</f>
        <v>187284.12</v>
      </c>
      <c r="E24" s="3"/>
      <c r="F24" s="14"/>
      <c r="H24" s="3"/>
      <c r="I24" s="14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</row>
    <row r="25">
      <c r="A25" s="15" t="s">
        <v>31</v>
      </c>
      <c r="B25" s="59" t="s">
        <v>32</v>
      </c>
      <c r="C25" s="10">
        <f t="shared" ref="C25:C46" si="1">E25/D25</f>
        <v>18.576</v>
      </c>
      <c r="D25" s="9">
        <f>200+50</f>
        <v>250</v>
      </c>
      <c r="E25" s="57">
        <f>2812+1832</f>
        <v>4644</v>
      </c>
      <c r="F25" s="17"/>
      <c r="G25" s="6"/>
      <c r="H25" s="18"/>
      <c r="I25" s="17"/>
      <c r="J25" s="6"/>
      <c r="K25" s="17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>
      <c r="B26" s="60" t="s">
        <v>33</v>
      </c>
      <c r="C26" s="10">
        <f t="shared" si="1"/>
        <v>20.06666667</v>
      </c>
      <c r="D26" s="9">
        <f>50+10</f>
        <v>60</v>
      </c>
      <c r="E26" s="57">
        <f>665+539</f>
        <v>1204</v>
      </c>
      <c r="F26" s="17"/>
      <c r="G26" s="6"/>
      <c r="H26" s="18"/>
      <c r="I26" s="17"/>
      <c r="J26" s="6"/>
      <c r="K26" s="17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>
      <c r="B27" s="61" t="s">
        <v>34</v>
      </c>
      <c r="C27" s="10">
        <f t="shared" si="1"/>
        <v>67</v>
      </c>
      <c r="D27" s="9">
        <f>50+50</f>
        <v>100</v>
      </c>
      <c r="E27" s="57">
        <f>3451+3249</f>
        <v>6700</v>
      </c>
      <c r="F27" s="17"/>
      <c r="G27" s="6"/>
      <c r="H27" s="18"/>
      <c r="I27" s="17"/>
      <c r="J27" s="6"/>
      <c r="K27" s="17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>
      <c r="B28" s="61" t="s">
        <v>35</v>
      </c>
      <c r="C28" s="10">
        <f t="shared" si="1"/>
        <v>92.34285714</v>
      </c>
      <c r="D28" s="9">
        <f>20+10+40</f>
        <v>70</v>
      </c>
      <c r="E28" s="57">
        <f>1810+1054+3600</f>
        <v>6464</v>
      </c>
      <c r="F28" s="17"/>
      <c r="G28" s="6"/>
      <c r="H28" s="18"/>
      <c r="I28" s="17"/>
      <c r="J28" s="6"/>
      <c r="K28" s="17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>
      <c r="B29" s="61" t="s">
        <v>36</v>
      </c>
      <c r="C29" s="10">
        <f t="shared" si="1"/>
        <v>162.0461538</v>
      </c>
      <c r="D29" s="9">
        <f>60+10+60</f>
        <v>130</v>
      </c>
      <c r="E29" s="57">
        <f>12000+1428+7638</f>
        <v>21066</v>
      </c>
      <c r="F29" s="17"/>
      <c r="G29" s="6"/>
      <c r="H29" s="18"/>
      <c r="I29" s="17"/>
      <c r="J29" s="6"/>
      <c r="K29" s="17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>
      <c r="B30" s="61" t="s">
        <v>37</v>
      </c>
      <c r="C30" s="10">
        <f t="shared" si="1"/>
        <v>115.5</v>
      </c>
      <c r="D30" s="9">
        <f>12+12+12+12</f>
        <v>48</v>
      </c>
      <c r="E30" s="57">
        <f>1305+1641+2598</f>
        <v>5544</v>
      </c>
      <c r="F30" s="17"/>
      <c r="G30" s="6"/>
      <c r="H30" s="18"/>
      <c r="I30" s="17"/>
      <c r="J30" s="6"/>
      <c r="K30" s="17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>
      <c r="B31" s="61" t="s">
        <v>38</v>
      </c>
      <c r="C31" s="10">
        <f t="shared" si="1"/>
        <v>112.3076923</v>
      </c>
      <c r="D31" s="9">
        <f>45+10+18+18</f>
        <v>91</v>
      </c>
      <c r="E31" s="57">
        <f>4194+990+5036</f>
        <v>10220</v>
      </c>
      <c r="F31" s="17"/>
      <c r="G31" s="6"/>
      <c r="H31" s="18"/>
      <c r="I31" s="17"/>
      <c r="J31" s="6"/>
      <c r="K31" s="17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>
      <c r="B32" s="61" t="s">
        <v>39</v>
      </c>
      <c r="C32" s="10">
        <f t="shared" si="1"/>
        <v>90</v>
      </c>
      <c r="D32" s="9">
        <v>30.0</v>
      </c>
      <c r="E32" s="57">
        <v>2700.0</v>
      </c>
      <c r="F32" s="17"/>
      <c r="G32" s="6"/>
      <c r="H32" s="18"/>
      <c r="I32" s="17"/>
      <c r="J32" s="6"/>
      <c r="K32" s="17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>
      <c r="B33" s="61" t="s">
        <v>40</v>
      </c>
      <c r="C33" s="10">
        <f t="shared" si="1"/>
        <v>88.55844156</v>
      </c>
      <c r="D33" s="9">
        <f>40+14+5+18</f>
        <v>77</v>
      </c>
      <c r="E33" s="57">
        <f>2628+615+990+661+1925</f>
        <v>6819</v>
      </c>
      <c r="F33" s="17"/>
      <c r="G33" s="6"/>
      <c r="H33" s="18"/>
      <c r="I33" s="17"/>
      <c r="J33" s="6"/>
      <c r="K33" s="17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>
      <c r="B34" s="62" t="s">
        <v>41</v>
      </c>
      <c r="C34" s="10">
        <f t="shared" si="1"/>
        <v>80</v>
      </c>
      <c r="D34" s="9">
        <v>40.0</v>
      </c>
      <c r="E34" s="57">
        <v>3200.0</v>
      </c>
      <c r="F34" s="17"/>
      <c r="G34" s="6"/>
      <c r="H34" s="18"/>
      <c r="I34" s="17"/>
      <c r="J34" s="6"/>
      <c r="K34" s="17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>
      <c r="B35" s="62" t="s">
        <v>42</v>
      </c>
      <c r="C35" s="10">
        <f t="shared" si="1"/>
        <v>110</v>
      </c>
      <c r="D35" s="9">
        <v>20.0</v>
      </c>
      <c r="E35" s="57">
        <v>2200.0</v>
      </c>
      <c r="F35" s="17"/>
      <c r="G35" s="6"/>
      <c r="H35" s="18"/>
      <c r="I35" s="17"/>
      <c r="J35" s="6"/>
      <c r="K35" s="17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>
      <c r="B36" s="61" t="s">
        <v>43</v>
      </c>
      <c r="C36" s="10">
        <f t="shared" si="1"/>
        <v>84.38181818</v>
      </c>
      <c r="D36" s="9">
        <f>25+10+20</f>
        <v>55</v>
      </c>
      <c r="E36" s="57">
        <f>2052+877+1712</f>
        <v>4641</v>
      </c>
      <c r="F36" s="17"/>
      <c r="G36" s="6"/>
      <c r="H36" s="18"/>
      <c r="I36" s="17"/>
      <c r="J36" s="6"/>
      <c r="K36" s="17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>
      <c r="B37" s="63" t="s">
        <v>44</v>
      </c>
      <c r="C37" s="64">
        <f t="shared" si="1"/>
        <v>58</v>
      </c>
      <c r="D37" s="65">
        <f>48+24+24+10</f>
        <v>106</v>
      </c>
      <c r="E37" s="66">
        <f>2616+1360+1339+833</f>
        <v>6148</v>
      </c>
      <c r="F37" s="67"/>
      <c r="G37" s="68"/>
      <c r="H37" s="69"/>
      <c r="I37" s="67"/>
      <c r="J37" s="68"/>
      <c r="K37" s="67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</row>
    <row r="38">
      <c r="A38" s="15" t="s">
        <v>45</v>
      </c>
      <c r="B38" s="70" t="s">
        <v>46</v>
      </c>
      <c r="C38" s="10">
        <f t="shared" si="1"/>
        <v>10.06181818</v>
      </c>
      <c r="D38" s="9">
        <f>50*11</f>
        <v>550</v>
      </c>
      <c r="E38" s="57">
        <f>455+3288+1341+450</f>
        <v>5534</v>
      </c>
      <c r="F38" s="17"/>
      <c r="G38" s="6"/>
      <c r="H38" s="18"/>
      <c r="I38" s="17"/>
      <c r="J38" s="6"/>
      <c r="K38" s="17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>
      <c r="B39" s="71" t="s">
        <v>47</v>
      </c>
      <c r="C39" s="64">
        <f t="shared" si="1"/>
        <v>23.41481481</v>
      </c>
      <c r="D39" s="65">
        <f>200+70</f>
        <v>270</v>
      </c>
      <c r="E39" s="66">
        <f>4600+1722</f>
        <v>6322</v>
      </c>
      <c r="F39" s="67"/>
      <c r="G39" s="68"/>
      <c r="H39" s="69"/>
      <c r="I39" s="67"/>
      <c r="J39" s="68"/>
      <c r="K39" s="67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</row>
    <row r="40">
      <c r="A40" s="72" t="s">
        <v>48</v>
      </c>
      <c r="B40" s="62" t="s">
        <v>49</v>
      </c>
      <c r="C40" s="10">
        <f t="shared" si="1"/>
        <v>12.05</v>
      </c>
      <c r="D40" s="9">
        <f>150+550</f>
        <v>700</v>
      </c>
      <c r="E40" s="57">
        <f>1807.5+6627.5</f>
        <v>8435</v>
      </c>
      <c r="F40" s="17"/>
      <c r="G40" s="6"/>
      <c r="H40" s="18"/>
      <c r="I40" s="17"/>
      <c r="J40" s="6"/>
      <c r="K40" s="17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>
      <c r="A41" s="72"/>
      <c r="B41" s="62" t="s">
        <v>50</v>
      </c>
      <c r="C41" s="10">
        <f t="shared" si="1"/>
        <v>15.57</v>
      </c>
      <c r="D41" s="9">
        <v>200.0</v>
      </c>
      <c r="E41" s="57">
        <v>3114.0</v>
      </c>
      <c r="F41" s="17"/>
      <c r="G41" s="6"/>
      <c r="H41" s="18"/>
      <c r="I41" s="17"/>
      <c r="J41" s="6"/>
      <c r="K41" s="17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>
      <c r="A42" s="72"/>
      <c r="B42" s="62" t="s">
        <v>51</v>
      </c>
      <c r="C42" s="10">
        <f t="shared" si="1"/>
        <v>15.57</v>
      </c>
      <c r="D42" s="9">
        <f>50+200</f>
        <v>250</v>
      </c>
      <c r="E42" s="57">
        <f>778.5+3114</f>
        <v>3892.5</v>
      </c>
      <c r="F42" s="17"/>
      <c r="G42" s="6"/>
      <c r="H42" s="18"/>
      <c r="I42" s="17"/>
      <c r="J42" s="6"/>
      <c r="K42" s="17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>
      <c r="A43" s="72"/>
      <c r="B43" s="62" t="s">
        <v>52</v>
      </c>
      <c r="C43" s="10">
        <f t="shared" si="1"/>
        <v>19.34</v>
      </c>
      <c r="D43" s="9">
        <f>100+250</f>
        <v>350</v>
      </c>
      <c r="E43" s="57">
        <f>1934+4835</f>
        <v>6769</v>
      </c>
      <c r="F43" s="17"/>
      <c r="G43" s="6"/>
      <c r="H43" s="18"/>
      <c r="I43" s="17"/>
      <c r="J43" s="6"/>
      <c r="K43" s="17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>
      <c r="A44" s="72"/>
      <c r="B44" s="62" t="s">
        <v>53</v>
      </c>
      <c r="C44" s="10">
        <f t="shared" si="1"/>
        <v>22.86</v>
      </c>
      <c r="D44" s="9">
        <f>50+150</f>
        <v>200</v>
      </c>
      <c r="E44" s="57">
        <f>1143+3429</f>
        <v>4572</v>
      </c>
      <c r="F44" s="17"/>
      <c r="G44" s="6"/>
      <c r="H44" s="18"/>
      <c r="I44" s="17"/>
      <c r="J44" s="6"/>
      <c r="K44" s="17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>
      <c r="A45" s="72"/>
      <c r="B45" s="61" t="s">
        <v>54</v>
      </c>
      <c r="C45" s="10">
        <f t="shared" si="1"/>
        <v>39.3</v>
      </c>
      <c r="D45" s="9">
        <v>248.0</v>
      </c>
      <c r="E45" s="57">
        <v>9746.4</v>
      </c>
      <c r="F45" s="17"/>
      <c r="G45" s="6"/>
      <c r="H45" s="18"/>
      <c r="I45" s="17"/>
      <c r="J45" s="6"/>
      <c r="K45" s="17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>
      <c r="A46" s="72"/>
      <c r="B46" s="61" t="s">
        <v>55</v>
      </c>
      <c r="C46" s="10">
        <f t="shared" si="1"/>
        <v>45.8</v>
      </c>
      <c r="D46" s="9">
        <v>110.0</v>
      </c>
      <c r="E46" s="57">
        <v>5038.0</v>
      </c>
      <c r="F46" s="17"/>
      <c r="G46" s="6"/>
      <c r="H46" s="18"/>
      <c r="I46" s="17"/>
      <c r="J46" s="6"/>
      <c r="K46" s="17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>
      <c r="A47" s="72"/>
      <c r="B47" s="62" t="s">
        <v>56</v>
      </c>
      <c r="C47" s="10">
        <v>56.46</v>
      </c>
      <c r="D47" s="9"/>
      <c r="E47" s="57"/>
      <c r="F47" s="17"/>
      <c r="G47" s="6"/>
      <c r="H47" s="18"/>
      <c r="I47" s="17"/>
      <c r="J47" s="6"/>
      <c r="K47" s="17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>
      <c r="A48" s="72"/>
      <c r="B48" s="62" t="s">
        <v>57</v>
      </c>
      <c r="C48" s="10">
        <f t="shared" ref="C48:C56" si="2">E48/D48</f>
        <v>12.23103448</v>
      </c>
      <c r="D48" s="9">
        <f>20*29</f>
        <v>580</v>
      </c>
      <c r="E48" s="73">
        <f>6696+150+248</f>
        <v>7094</v>
      </c>
      <c r="F48" s="17"/>
      <c r="G48" s="6"/>
      <c r="H48" s="18"/>
      <c r="I48" s="17"/>
      <c r="J48" s="6"/>
      <c r="K48" s="17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>
      <c r="A49" s="72"/>
      <c r="B49" s="62" t="s">
        <v>58</v>
      </c>
      <c r="C49" s="10">
        <f t="shared" si="2"/>
        <v>29.4952381</v>
      </c>
      <c r="D49" s="9">
        <f>(20*5)+5</f>
        <v>105</v>
      </c>
      <c r="E49" s="57">
        <f>2860+237</f>
        <v>3097</v>
      </c>
      <c r="F49" s="17"/>
      <c r="G49" s="6"/>
      <c r="H49" s="18"/>
      <c r="I49" s="17"/>
      <c r="J49" s="6"/>
      <c r="K49" s="17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>
      <c r="A50" s="72"/>
      <c r="B50" s="62" t="s">
        <v>59</v>
      </c>
      <c r="C50" s="10">
        <f t="shared" si="2"/>
        <v>0.43</v>
      </c>
      <c r="D50" s="9">
        <v>1000.0</v>
      </c>
      <c r="E50" s="57">
        <v>430.0</v>
      </c>
      <c r="F50" s="17"/>
      <c r="G50" s="6"/>
      <c r="H50" s="18"/>
      <c r="I50" s="17"/>
      <c r="J50" s="6"/>
      <c r="K50" s="17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>
      <c r="A51" s="72"/>
      <c r="B51" s="62" t="s">
        <v>60</v>
      </c>
      <c r="C51" s="10">
        <f t="shared" si="2"/>
        <v>2.7</v>
      </c>
      <c r="D51" s="9">
        <v>200.0</v>
      </c>
      <c r="E51" s="57">
        <v>540.0</v>
      </c>
      <c r="F51" s="17"/>
      <c r="G51" s="6"/>
      <c r="H51" s="18"/>
      <c r="I51" s="17"/>
      <c r="J51" s="6"/>
      <c r="K51" s="17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>
      <c r="A52" s="72"/>
      <c r="B52" s="62" t="s">
        <v>61</v>
      </c>
      <c r="C52" s="10">
        <f t="shared" si="2"/>
        <v>3.5</v>
      </c>
      <c r="D52" s="9">
        <v>400.0</v>
      </c>
      <c r="E52" s="57">
        <v>1400.0</v>
      </c>
      <c r="F52" s="17"/>
      <c r="G52" s="6"/>
      <c r="H52" s="18"/>
      <c r="I52" s="17"/>
      <c r="J52" s="6"/>
      <c r="K52" s="17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>
      <c r="A53" s="72"/>
      <c r="B53" s="62" t="s">
        <v>62</v>
      </c>
      <c r="C53" s="10">
        <f t="shared" si="2"/>
        <v>9.55</v>
      </c>
      <c r="D53" s="9">
        <v>100.0</v>
      </c>
      <c r="E53" s="57">
        <v>955.0</v>
      </c>
      <c r="F53" s="17"/>
      <c r="G53" s="6"/>
      <c r="H53" s="18"/>
      <c r="I53" s="17"/>
      <c r="J53" s="6"/>
      <c r="K53" s="17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>
      <c r="A54" s="74"/>
      <c r="B54" s="75" t="s">
        <v>63</v>
      </c>
      <c r="C54" s="64">
        <f t="shared" si="2"/>
        <v>0.1835</v>
      </c>
      <c r="D54" s="65">
        <v>2000.0</v>
      </c>
      <c r="E54" s="66">
        <v>367.0</v>
      </c>
      <c r="F54" s="67"/>
      <c r="G54" s="68"/>
      <c r="H54" s="69"/>
      <c r="I54" s="67"/>
      <c r="J54" s="68"/>
      <c r="K54" s="67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</row>
    <row r="55">
      <c r="A55" s="72"/>
      <c r="B55" s="62" t="s">
        <v>64</v>
      </c>
      <c r="C55" s="10">
        <f t="shared" si="2"/>
        <v>73.07</v>
      </c>
      <c r="D55" s="9">
        <v>46.0</v>
      </c>
      <c r="E55" s="57">
        <v>3361.22</v>
      </c>
      <c r="F55" s="17"/>
      <c r="G55" s="6"/>
      <c r="H55" s="18"/>
      <c r="I55" s="17"/>
      <c r="J55" s="6"/>
      <c r="K55" s="17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>
      <c r="A56" s="72"/>
      <c r="B56" s="62" t="s">
        <v>65</v>
      </c>
      <c r="C56" s="10">
        <f t="shared" si="2"/>
        <v>0.5533333333</v>
      </c>
      <c r="D56" s="9">
        <v>300.0</v>
      </c>
      <c r="E56" s="57">
        <v>166.0</v>
      </c>
      <c r="F56" s="17"/>
      <c r="G56" s="6"/>
      <c r="H56" s="18"/>
      <c r="I56" s="17"/>
      <c r="J56" s="6"/>
      <c r="K56" s="17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>
      <c r="A57" s="74"/>
      <c r="B57" s="75" t="s">
        <v>66</v>
      </c>
      <c r="C57" s="64"/>
      <c r="D57" s="65"/>
      <c r="E57" s="66"/>
      <c r="F57" s="67"/>
      <c r="G57" s="68"/>
      <c r="H57" s="69"/>
      <c r="I57" s="67"/>
      <c r="J57" s="68"/>
      <c r="K57" s="67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</row>
    <row r="58">
      <c r="A58" s="72" t="s">
        <v>67</v>
      </c>
      <c r="B58" s="76" t="s">
        <v>68</v>
      </c>
      <c r="C58" s="10">
        <f t="shared" ref="C58:C64" si="3">E58/D58</f>
        <v>38.83666062</v>
      </c>
      <c r="D58" s="9">
        <v>551.0</v>
      </c>
      <c r="E58" s="57">
        <v>21399.0</v>
      </c>
      <c r="F58" s="17"/>
      <c r="G58" s="6"/>
      <c r="H58" s="18"/>
      <c r="I58" s="17"/>
      <c r="J58" s="6"/>
      <c r="K58" s="17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>
      <c r="A59" s="72"/>
      <c r="B59" s="76" t="s">
        <v>69</v>
      </c>
      <c r="C59" s="10">
        <f t="shared" si="3"/>
        <v>19.97090909</v>
      </c>
      <c r="D59" s="9">
        <f>1650/3</f>
        <v>550</v>
      </c>
      <c r="E59" s="57">
        <v>10984.0</v>
      </c>
      <c r="F59" s="17"/>
      <c r="G59" s="6"/>
      <c r="H59" s="18"/>
      <c r="I59" s="17"/>
      <c r="J59" s="6"/>
      <c r="K59" s="17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>
      <c r="A60" s="72"/>
      <c r="B60" s="76" t="s">
        <v>70</v>
      </c>
      <c r="C60" s="10">
        <f t="shared" si="3"/>
        <v>15.97818182</v>
      </c>
      <c r="D60" s="9">
        <v>550.0</v>
      </c>
      <c r="E60" s="57">
        <v>8788.0</v>
      </c>
      <c r="F60" s="17"/>
      <c r="G60" s="6"/>
      <c r="H60" s="18"/>
      <c r="I60" s="17"/>
      <c r="J60" s="6"/>
      <c r="K60" s="17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>
      <c r="A61" s="72"/>
      <c r="B61" s="76" t="s">
        <v>71</v>
      </c>
      <c r="C61" s="10">
        <f t="shared" si="3"/>
        <v>39.31958763</v>
      </c>
      <c r="D61" s="9">
        <v>194.0</v>
      </c>
      <c r="E61" s="57">
        <v>7628.0</v>
      </c>
      <c r="F61" s="17"/>
      <c r="G61" s="6"/>
      <c r="H61" s="18"/>
      <c r="I61" s="17"/>
      <c r="J61" s="6"/>
      <c r="K61" s="17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>
      <c r="A62" s="72"/>
      <c r="B62" s="76" t="s">
        <v>72</v>
      </c>
      <c r="C62" s="10">
        <f t="shared" si="3"/>
        <v>42.61044177</v>
      </c>
      <c r="D62" s="9">
        <v>249.0</v>
      </c>
      <c r="E62" s="57">
        <v>10610.0</v>
      </c>
      <c r="F62" s="17"/>
      <c r="G62" s="6"/>
      <c r="H62" s="18"/>
      <c r="I62" s="17"/>
      <c r="J62" s="6"/>
      <c r="K62" s="17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>
      <c r="A63" s="72"/>
      <c r="B63" s="76" t="s">
        <v>73</v>
      </c>
      <c r="C63" s="10">
        <f t="shared" si="3"/>
        <v>88.8018018</v>
      </c>
      <c r="D63" s="9">
        <v>111.0</v>
      </c>
      <c r="E63" s="57">
        <v>9857.0</v>
      </c>
      <c r="F63" s="17"/>
      <c r="G63" s="6"/>
      <c r="H63" s="18"/>
      <c r="I63" s="17"/>
      <c r="J63" s="6"/>
      <c r="K63" s="17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>
      <c r="A64" s="74"/>
      <c r="B64" s="77" t="s">
        <v>74</v>
      </c>
      <c r="C64" s="64">
        <f t="shared" si="3"/>
        <v>212.7272727</v>
      </c>
      <c r="D64" s="65">
        <v>550.0</v>
      </c>
      <c r="E64" s="66">
        <v>117000.0</v>
      </c>
      <c r="F64" s="67"/>
      <c r="G64" s="68"/>
      <c r="H64" s="69"/>
      <c r="I64" s="67"/>
      <c r="J64" s="68"/>
      <c r="K64" s="67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</row>
    <row r="65">
      <c r="A65" s="78" t="s">
        <v>75</v>
      </c>
      <c r="B65" s="76" t="s">
        <v>76</v>
      </c>
      <c r="C65" s="10">
        <f>4400+3240+38+1100+224+500+4000</f>
        <v>13502</v>
      </c>
      <c r="E65" s="3"/>
      <c r="F65" s="17"/>
      <c r="G65" s="6"/>
      <c r="H65" s="18"/>
      <c r="I65" s="17"/>
      <c r="J65" s="6"/>
      <c r="K65" s="17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ht="36.0" customHeight="1">
      <c r="A66" s="79" t="s">
        <v>77</v>
      </c>
      <c r="B66" s="80"/>
      <c r="C66" s="81">
        <f>SUM(C67:E71)</f>
        <v>0</v>
      </c>
      <c r="D66" s="82"/>
      <c r="E66" s="83"/>
      <c r="F66" s="84"/>
      <c r="G66" s="79"/>
      <c r="H66" s="85"/>
      <c r="I66" s="84"/>
      <c r="J66" s="79"/>
      <c r="K66" s="84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</row>
    <row r="67">
      <c r="A67" s="86" t="s">
        <v>78</v>
      </c>
      <c r="B67" s="87"/>
      <c r="C67" s="88">
        <v>0.0</v>
      </c>
      <c r="D67" s="89"/>
      <c r="E67" s="90"/>
      <c r="F67" s="24"/>
      <c r="G67" s="25"/>
      <c r="H67" s="26"/>
      <c r="I67" s="24"/>
      <c r="J67" s="25"/>
      <c r="K67" s="24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</row>
    <row r="68">
      <c r="A68" s="91" t="s">
        <v>79</v>
      </c>
      <c r="B68" s="87"/>
      <c r="C68" s="88">
        <v>0.0</v>
      </c>
      <c r="D68" s="89"/>
      <c r="E68" s="90"/>
      <c r="F68" s="24"/>
      <c r="G68" s="25"/>
      <c r="H68" s="26"/>
      <c r="I68" s="24"/>
      <c r="J68" s="25"/>
      <c r="K68" s="24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</row>
    <row r="69">
      <c r="A69" s="78" t="s">
        <v>75</v>
      </c>
      <c r="B69" s="92" t="s">
        <v>80</v>
      </c>
      <c r="C69" s="10">
        <v>0.0</v>
      </c>
      <c r="E69" s="3"/>
      <c r="F69" s="17"/>
      <c r="G69" s="6"/>
      <c r="H69" s="18"/>
      <c r="I69" s="17"/>
      <c r="J69" s="6"/>
      <c r="K69" s="17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>
      <c r="B70" s="76" t="s">
        <v>81</v>
      </c>
      <c r="C70" s="10">
        <v>0.0</v>
      </c>
      <c r="E70" s="3"/>
      <c r="F70" s="17"/>
      <c r="G70" s="6"/>
      <c r="H70" s="18"/>
      <c r="I70" s="17"/>
      <c r="J70" s="6"/>
      <c r="K70" s="17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>
      <c r="B71" s="93" t="s">
        <v>82</v>
      </c>
      <c r="C71" s="10">
        <v>0.0</v>
      </c>
      <c r="E71" s="3"/>
      <c r="F71" s="17"/>
      <c r="G71" s="6"/>
      <c r="H71" s="18"/>
      <c r="I71" s="17"/>
      <c r="J71" s="6"/>
      <c r="K71" s="17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>
      <c r="B72" s="93" t="s">
        <v>83</v>
      </c>
      <c r="C72" s="10">
        <v>0.0</v>
      </c>
      <c r="E72" s="3"/>
      <c r="F72" s="17"/>
      <c r="G72" s="6"/>
      <c r="H72" s="18"/>
      <c r="I72" s="17"/>
      <c r="J72" s="6"/>
      <c r="K72" s="17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ht="36.0" customHeight="1">
      <c r="A73" s="79" t="s">
        <v>84</v>
      </c>
      <c r="B73" s="80"/>
      <c r="C73" s="81">
        <v>0.0</v>
      </c>
      <c r="D73" s="82"/>
      <c r="E73" s="83"/>
      <c r="F73" s="84"/>
      <c r="G73" s="79"/>
      <c r="H73" s="85"/>
      <c r="I73" s="84"/>
      <c r="J73" s="79"/>
      <c r="K73" s="84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</row>
    <row r="74">
      <c r="A74" s="15" t="s">
        <v>85</v>
      </c>
      <c r="B74" s="59" t="s">
        <v>86</v>
      </c>
      <c r="C74" s="17"/>
      <c r="D74" s="6"/>
      <c r="E74" s="57">
        <v>0.0</v>
      </c>
      <c r="F74" s="17"/>
      <c r="G74" s="6"/>
      <c r="H74" s="18"/>
      <c r="I74" s="17"/>
      <c r="J74" s="6"/>
      <c r="K74" s="17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ht="36.0" customHeight="1">
      <c r="A75" s="79" t="s">
        <v>87</v>
      </c>
      <c r="B75" s="80"/>
      <c r="C75" s="81">
        <f>SUM(C76:E88)</f>
        <v>145360</v>
      </c>
      <c r="D75" s="82"/>
      <c r="E75" s="83"/>
      <c r="F75" s="84"/>
      <c r="G75" s="79"/>
      <c r="H75" s="85"/>
      <c r="I75" s="84"/>
      <c r="J75" s="79"/>
      <c r="K75" s="84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</row>
    <row r="76">
      <c r="A76" s="15" t="s">
        <v>88</v>
      </c>
      <c r="B76" s="94" t="s">
        <v>89</v>
      </c>
      <c r="C76" s="4">
        <v>2000.0</v>
      </c>
      <c r="E76" s="3"/>
      <c r="F76" s="17"/>
      <c r="G76" s="6"/>
      <c r="H76" s="18"/>
      <c r="I76" s="17"/>
      <c r="J76" s="6"/>
      <c r="K76" s="17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>
      <c r="B77" s="94" t="s">
        <v>90</v>
      </c>
      <c r="C77" s="4">
        <f>16900</f>
        <v>16900</v>
      </c>
      <c r="E77" s="3"/>
      <c r="F77" s="4"/>
      <c r="G77" s="6"/>
      <c r="H77" s="18"/>
      <c r="I77" s="17"/>
      <c r="J77" s="6"/>
      <c r="K77" s="17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>
      <c r="B78" s="59" t="s">
        <v>91</v>
      </c>
      <c r="C78" s="4">
        <v>2900.0</v>
      </c>
      <c r="E78" s="3"/>
      <c r="F78" s="17"/>
      <c r="G78" s="6"/>
      <c r="H78" s="18"/>
      <c r="I78" s="17"/>
      <c r="J78" s="6"/>
      <c r="K78" s="17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>
      <c r="B79" s="59" t="s">
        <v>92</v>
      </c>
      <c r="C79" s="4">
        <v>5412.0</v>
      </c>
      <c r="E79" s="3"/>
      <c r="F79" s="17"/>
      <c r="G79" s="6"/>
      <c r="H79" s="18"/>
      <c r="I79" s="17"/>
      <c r="J79" s="6"/>
      <c r="K79" s="17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>
      <c r="B80" s="59" t="s">
        <v>93</v>
      </c>
      <c r="C80" s="4">
        <v>4500.0</v>
      </c>
      <c r="E80" s="3"/>
      <c r="F80" s="17"/>
      <c r="G80" s="6"/>
      <c r="H80" s="18"/>
      <c r="I80" s="17"/>
      <c r="J80" s="6"/>
      <c r="K80" s="17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>
      <c r="B81" s="59" t="s">
        <v>94</v>
      </c>
      <c r="C81" s="4">
        <v>7500.0</v>
      </c>
      <c r="E81" s="3"/>
      <c r="F81" s="17"/>
      <c r="G81" s="6"/>
      <c r="H81" s="18"/>
      <c r="I81" s="17"/>
      <c r="J81" s="6"/>
      <c r="K81" s="17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>
      <c r="B82" s="95" t="s">
        <v>95</v>
      </c>
      <c r="C82" s="96">
        <v>0.0</v>
      </c>
      <c r="D82" s="89"/>
      <c r="E82" s="90"/>
      <c r="F82" s="24"/>
      <c r="G82" s="25"/>
      <c r="H82" s="26"/>
      <c r="I82" s="24"/>
      <c r="J82" s="25"/>
      <c r="K82" s="24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</row>
    <row r="83" ht="30.75" customHeight="1">
      <c r="A83" s="15" t="s">
        <v>96</v>
      </c>
      <c r="B83" s="97" t="s">
        <v>97</v>
      </c>
      <c r="C83" s="17">
        <f>373+180+1589+257+163+511+531+2946+5061+5660+182+402+860+1544+1267+216+155</f>
        <v>21897</v>
      </c>
      <c r="E83" s="3"/>
      <c r="F83" s="17"/>
      <c r="G83" s="6"/>
      <c r="H83" s="18"/>
      <c r="I83" s="17"/>
      <c r="J83" s="6"/>
      <c r="K83" s="17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ht="21.75" customHeight="1">
      <c r="B84" s="97" t="s">
        <v>98</v>
      </c>
      <c r="C84" s="4">
        <f>6500+3435+1353</f>
        <v>11288</v>
      </c>
      <c r="E84" s="3"/>
      <c r="F84" s="17"/>
      <c r="G84" s="6"/>
      <c r="H84" s="18"/>
      <c r="I84" s="17"/>
      <c r="J84" s="6"/>
      <c r="K84" s="17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ht="29.25" customHeight="1">
      <c r="B85" s="97" t="s">
        <v>99</v>
      </c>
      <c r="C85" s="4">
        <f>5182+1014+753+1305+1740+409+860+722</f>
        <v>11985</v>
      </c>
      <c r="E85" s="3"/>
      <c r="F85" s="17"/>
      <c r="G85" s="6"/>
      <c r="H85" s="18"/>
      <c r="I85" s="17"/>
      <c r="J85" s="6"/>
      <c r="K85" s="17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ht="21.75" customHeight="1">
      <c r="B86" s="97" t="s">
        <v>100</v>
      </c>
      <c r="C86" s="4">
        <v>2127.0</v>
      </c>
      <c r="E86" s="3"/>
      <c r="F86" s="17"/>
      <c r="G86" s="6"/>
      <c r="H86" s="18"/>
      <c r="I86" s="17"/>
      <c r="J86" s="6"/>
      <c r="K86" s="17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ht="31.5" customHeight="1">
      <c r="B87" s="97" t="s">
        <v>101</v>
      </c>
      <c r="C87" s="4">
        <f>18000+31500</f>
        <v>49500</v>
      </c>
      <c r="E87" s="3"/>
      <c r="F87" s="17"/>
      <c r="G87" s="6"/>
      <c r="H87" s="18"/>
      <c r="I87" s="17"/>
      <c r="J87" s="6"/>
      <c r="K87" s="17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ht="21.0" customHeight="1">
      <c r="B88" s="59" t="s">
        <v>102</v>
      </c>
      <c r="C88" s="4">
        <f>5926+3425</f>
        <v>9351</v>
      </c>
      <c r="E88" s="3"/>
      <c r="F88" s="17"/>
      <c r="G88" s="6"/>
      <c r="H88" s="18"/>
      <c r="I88" s="17"/>
      <c r="J88" s="6"/>
      <c r="K88" s="17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ht="36.0" customHeight="1">
      <c r="A89" s="79" t="s">
        <v>103</v>
      </c>
      <c r="B89" s="80"/>
      <c r="C89" s="81">
        <v>0.0</v>
      </c>
      <c r="D89" s="82"/>
      <c r="E89" s="83"/>
      <c r="F89" s="84"/>
      <c r="G89" s="79"/>
      <c r="H89" s="85"/>
      <c r="I89" s="84"/>
      <c r="J89" s="79"/>
      <c r="K89" s="84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</row>
    <row r="90" ht="49.5" customHeight="1">
      <c r="A90" s="98" t="s">
        <v>104</v>
      </c>
      <c r="B90" s="80"/>
      <c r="C90" s="99">
        <f>SUM(C91:E92)</f>
        <v>0</v>
      </c>
      <c r="D90" s="82"/>
      <c r="E90" s="83"/>
      <c r="F90" s="100"/>
      <c r="G90" s="82"/>
      <c r="H90" s="83"/>
      <c r="I90" s="100"/>
      <c r="J90" s="101"/>
      <c r="K90" s="100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</row>
    <row r="91">
      <c r="A91" s="9" t="s">
        <v>105</v>
      </c>
      <c r="B91" s="13"/>
      <c r="C91" s="4"/>
      <c r="E91" s="3"/>
      <c r="F91" s="18"/>
      <c r="G91" s="18"/>
      <c r="H91" s="18"/>
      <c r="I91" s="17"/>
      <c r="J91" s="17"/>
      <c r="K91" s="17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>
      <c r="A92" s="102" t="s">
        <v>106</v>
      </c>
      <c r="B92" s="103"/>
      <c r="C92" s="104">
        <v>0.0</v>
      </c>
      <c r="D92" s="105"/>
      <c r="E92" s="106"/>
      <c r="F92" s="107"/>
      <c r="G92" s="105"/>
      <c r="H92" s="106"/>
      <c r="I92" s="107"/>
      <c r="J92" s="105"/>
      <c r="K92" s="105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</row>
    <row r="93" ht="49.5" customHeight="1">
      <c r="A93" s="109" t="s">
        <v>107</v>
      </c>
      <c r="B93" s="13"/>
      <c r="C93" s="54">
        <f>C94</f>
        <v>0</v>
      </c>
      <c r="E93" s="3"/>
      <c r="F93" s="55"/>
      <c r="H93" s="3"/>
      <c r="I93" s="55"/>
      <c r="J93" s="56"/>
      <c r="K93" s="55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</row>
    <row r="94">
      <c r="A94" s="1" t="s">
        <v>108</v>
      </c>
      <c r="B94" s="13"/>
      <c r="C94" s="4">
        <v>0.0</v>
      </c>
      <c r="E94" s="3"/>
      <c r="F94" s="17"/>
      <c r="G94" s="6"/>
      <c r="H94" s="18"/>
      <c r="I94" s="17"/>
      <c r="J94" s="6"/>
      <c r="K94" s="17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>
      <c r="A95" s="6"/>
      <c r="B95" s="6"/>
      <c r="C95" s="17"/>
      <c r="D95" s="6"/>
      <c r="E95" s="17"/>
      <c r="F95" s="17"/>
      <c r="G95" s="6"/>
      <c r="H95" s="17"/>
      <c r="I95" s="17"/>
      <c r="J95" s="6"/>
      <c r="K95" s="17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>
      <c r="A96" s="6"/>
      <c r="B96" s="6"/>
      <c r="C96" s="17"/>
      <c r="D96" s="6"/>
      <c r="E96" s="17"/>
      <c r="F96" s="17"/>
      <c r="G96" s="6"/>
      <c r="H96" s="17"/>
      <c r="I96" s="17"/>
      <c r="J96" s="6"/>
      <c r="K96" s="17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>
      <c r="A97" s="6"/>
      <c r="B97" s="1"/>
      <c r="C97" s="17"/>
      <c r="D97" s="6"/>
      <c r="E97" s="17"/>
      <c r="F97" s="17"/>
      <c r="G97" s="6"/>
      <c r="H97" s="17"/>
      <c r="I97" s="17"/>
      <c r="J97" s="6"/>
      <c r="K97" s="17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>
      <c r="A98" s="6"/>
      <c r="B98" s="6"/>
      <c r="C98" s="17"/>
      <c r="D98" s="6"/>
      <c r="E98" s="17"/>
      <c r="F98" s="17"/>
      <c r="G98" s="6"/>
      <c r="H98" s="17"/>
      <c r="I98" s="17"/>
      <c r="J98" s="6"/>
      <c r="K98" s="17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>
      <c r="A99" s="6"/>
      <c r="B99" s="6"/>
      <c r="C99" s="17"/>
      <c r="D99" s="6"/>
      <c r="E99" s="17"/>
      <c r="F99" s="17"/>
      <c r="G99" s="6"/>
      <c r="H99" s="17"/>
      <c r="I99" s="17"/>
      <c r="J99" s="6"/>
      <c r="K99" s="17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>
      <c r="A100" s="6"/>
      <c r="B100" s="6"/>
      <c r="C100" s="17"/>
      <c r="D100" s="6"/>
      <c r="E100" s="17"/>
      <c r="F100" s="17"/>
      <c r="G100" s="6"/>
      <c r="H100" s="17"/>
      <c r="I100" s="17"/>
      <c r="J100" s="6"/>
      <c r="K100" s="17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>
      <c r="A101" s="6"/>
      <c r="B101" s="6"/>
      <c r="C101" s="17"/>
      <c r="D101" s="6"/>
      <c r="E101" s="17"/>
      <c r="F101" s="17"/>
      <c r="G101" s="6"/>
      <c r="H101" s="17"/>
      <c r="I101" s="17"/>
      <c r="J101" s="6"/>
      <c r="K101" s="17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>
      <c r="A102" s="6"/>
      <c r="B102" s="6"/>
      <c r="C102" s="17"/>
      <c r="D102" s="6"/>
      <c r="E102" s="17"/>
      <c r="F102" s="17"/>
      <c r="G102" s="6"/>
      <c r="H102" s="17"/>
      <c r="I102" s="17"/>
      <c r="J102" s="6"/>
      <c r="K102" s="17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>
      <c r="A103" s="6"/>
      <c r="B103" s="6"/>
      <c r="C103" s="17"/>
      <c r="D103" s="6"/>
      <c r="E103" s="17"/>
      <c r="F103" s="17"/>
      <c r="G103" s="6"/>
      <c r="H103" s="17"/>
      <c r="I103" s="17"/>
      <c r="J103" s="6"/>
      <c r="K103" s="17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>
      <c r="A104" s="6"/>
      <c r="B104" s="6"/>
      <c r="C104" s="17"/>
      <c r="D104" s="6"/>
      <c r="E104" s="17"/>
      <c r="F104" s="17"/>
      <c r="G104" s="6"/>
      <c r="H104" s="17"/>
      <c r="I104" s="17"/>
      <c r="J104" s="6"/>
      <c r="K104" s="17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>
      <c r="A105" s="6"/>
      <c r="B105" s="6"/>
      <c r="C105" s="17"/>
      <c r="D105" s="6"/>
      <c r="E105" s="17"/>
      <c r="F105" s="17"/>
      <c r="G105" s="6"/>
      <c r="H105" s="17"/>
      <c r="I105" s="17"/>
      <c r="J105" s="6"/>
      <c r="K105" s="17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>
      <c r="A106" s="6"/>
      <c r="B106" s="6"/>
      <c r="C106" s="17"/>
      <c r="D106" s="6"/>
      <c r="E106" s="17"/>
      <c r="F106" s="17"/>
      <c r="G106" s="6"/>
      <c r="H106" s="17"/>
      <c r="I106" s="17"/>
      <c r="J106" s="6"/>
      <c r="K106" s="17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>
      <c r="A107" s="6"/>
      <c r="B107" s="6"/>
      <c r="C107" s="17"/>
      <c r="D107" s="6"/>
      <c r="E107" s="17"/>
      <c r="F107" s="17"/>
      <c r="G107" s="6"/>
      <c r="H107" s="17"/>
      <c r="I107" s="17"/>
      <c r="J107" s="6"/>
      <c r="K107" s="17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>
      <c r="A108" s="6"/>
      <c r="B108" s="6"/>
      <c r="C108" s="17"/>
      <c r="D108" s="6"/>
      <c r="E108" s="17"/>
      <c r="F108" s="17"/>
      <c r="G108" s="6"/>
      <c r="H108" s="17"/>
      <c r="I108" s="17"/>
      <c r="J108" s="6"/>
      <c r="K108" s="17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>
      <c r="A109" s="6"/>
      <c r="B109" s="6"/>
      <c r="C109" s="17"/>
      <c r="D109" s="6"/>
      <c r="E109" s="17"/>
      <c r="F109" s="17"/>
      <c r="G109" s="6"/>
      <c r="H109" s="17"/>
      <c r="I109" s="17"/>
      <c r="J109" s="6"/>
      <c r="K109" s="17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>
      <c r="A110" s="6"/>
      <c r="B110" s="6"/>
      <c r="C110" s="17"/>
      <c r="D110" s="6"/>
      <c r="E110" s="17"/>
      <c r="F110" s="17"/>
      <c r="G110" s="6"/>
      <c r="H110" s="17"/>
      <c r="I110" s="17"/>
      <c r="J110" s="6"/>
      <c r="K110" s="17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>
      <c r="A111" s="6"/>
      <c r="B111" s="6"/>
      <c r="C111" s="17"/>
      <c r="D111" s="6"/>
      <c r="E111" s="17"/>
      <c r="F111" s="17"/>
      <c r="G111" s="6"/>
      <c r="H111" s="17"/>
      <c r="I111" s="17"/>
      <c r="J111" s="6"/>
      <c r="K111" s="17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>
      <c r="A112" s="6"/>
      <c r="B112" s="6"/>
      <c r="C112" s="17"/>
      <c r="D112" s="6"/>
      <c r="E112" s="17"/>
      <c r="F112" s="17"/>
      <c r="G112" s="6"/>
      <c r="H112" s="17"/>
      <c r="I112" s="17"/>
      <c r="J112" s="6"/>
      <c r="K112" s="17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>
      <c r="A113" s="6"/>
      <c r="B113" s="6"/>
      <c r="C113" s="17"/>
      <c r="D113" s="6"/>
      <c r="E113" s="17"/>
      <c r="F113" s="17"/>
      <c r="G113" s="6"/>
      <c r="H113" s="17"/>
      <c r="I113" s="17"/>
      <c r="J113" s="6"/>
      <c r="K113" s="17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>
      <c r="A114" s="6"/>
      <c r="B114" s="6"/>
      <c r="C114" s="17"/>
      <c r="D114" s="6"/>
      <c r="E114" s="17"/>
      <c r="F114" s="17"/>
      <c r="G114" s="6"/>
      <c r="H114" s="17"/>
      <c r="I114" s="17"/>
      <c r="J114" s="6"/>
      <c r="K114" s="17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>
      <c r="A115" s="6"/>
      <c r="B115" s="6"/>
      <c r="C115" s="17"/>
      <c r="D115" s="6"/>
      <c r="E115" s="17"/>
      <c r="F115" s="17"/>
      <c r="G115" s="6"/>
      <c r="H115" s="17"/>
      <c r="I115" s="17"/>
      <c r="J115" s="6"/>
      <c r="K115" s="17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>
      <c r="A116" s="6"/>
      <c r="B116" s="6"/>
      <c r="C116" s="17"/>
      <c r="D116" s="6"/>
      <c r="E116" s="17"/>
      <c r="F116" s="17"/>
      <c r="G116" s="6"/>
      <c r="H116" s="17"/>
      <c r="I116" s="17"/>
      <c r="J116" s="6"/>
      <c r="K116" s="17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>
      <c r="A117" s="6"/>
      <c r="B117" s="6"/>
      <c r="C117" s="17"/>
      <c r="D117" s="6"/>
      <c r="E117" s="17"/>
      <c r="F117" s="17"/>
      <c r="G117" s="6"/>
      <c r="H117" s="17"/>
      <c r="I117" s="17"/>
      <c r="J117" s="6"/>
      <c r="K117" s="17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>
      <c r="A118" s="6"/>
      <c r="B118" s="6"/>
      <c r="C118" s="17"/>
      <c r="D118" s="6"/>
      <c r="E118" s="17"/>
      <c r="F118" s="17"/>
      <c r="G118" s="6"/>
      <c r="H118" s="17"/>
      <c r="I118" s="17"/>
      <c r="J118" s="6"/>
      <c r="K118" s="17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>
      <c r="A119" s="6"/>
      <c r="B119" s="6"/>
      <c r="C119" s="17"/>
      <c r="D119" s="6"/>
      <c r="E119" s="17"/>
      <c r="F119" s="17"/>
      <c r="G119" s="6"/>
      <c r="H119" s="17"/>
      <c r="I119" s="17"/>
      <c r="J119" s="6"/>
      <c r="K119" s="17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>
      <c r="A120" s="6"/>
      <c r="B120" s="6"/>
      <c r="C120" s="17"/>
      <c r="D120" s="6"/>
      <c r="E120" s="17"/>
      <c r="F120" s="17"/>
      <c r="G120" s="6"/>
      <c r="H120" s="17"/>
      <c r="I120" s="17"/>
      <c r="J120" s="6"/>
      <c r="K120" s="17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>
      <c r="A121" s="6"/>
      <c r="B121" s="6"/>
      <c r="C121" s="17"/>
      <c r="D121" s="6"/>
      <c r="E121" s="17"/>
      <c r="F121" s="17"/>
      <c r="G121" s="6"/>
      <c r="H121" s="17"/>
      <c r="I121" s="17"/>
      <c r="J121" s="6"/>
      <c r="K121" s="17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>
      <c r="A122" s="6"/>
      <c r="B122" s="6"/>
      <c r="C122" s="17"/>
      <c r="D122" s="6"/>
      <c r="E122" s="17"/>
      <c r="F122" s="17"/>
      <c r="G122" s="6"/>
      <c r="H122" s="17"/>
      <c r="I122" s="17"/>
      <c r="J122" s="6"/>
      <c r="K122" s="17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>
      <c r="A123" s="6"/>
      <c r="B123" s="6"/>
      <c r="C123" s="17"/>
      <c r="D123" s="6"/>
      <c r="E123" s="17"/>
      <c r="F123" s="17"/>
      <c r="G123" s="6"/>
      <c r="H123" s="17"/>
      <c r="I123" s="17"/>
      <c r="J123" s="6"/>
      <c r="K123" s="17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>
      <c r="A124" s="6"/>
      <c r="B124" s="6"/>
      <c r="C124" s="17"/>
      <c r="D124" s="6"/>
      <c r="E124" s="17"/>
      <c r="F124" s="17"/>
      <c r="G124" s="6"/>
      <c r="H124" s="17"/>
      <c r="I124" s="17"/>
      <c r="J124" s="6"/>
      <c r="K124" s="17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>
      <c r="A125" s="6"/>
      <c r="B125" s="6"/>
      <c r="C125" s="17"/>
      <c r="D125" s="6"/>
      <c r="E125" s="17"/>
      <c r="F125" s="17"/>
      <c r="G125" s="6"/>
      <c r="H125" s="17"/>
      <c r="I125" s="17"/>
      <c r="J125" s="6"/>
      <c r="K125" s="17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>
      <c r="A126" s="6"/>
      <c r="B126" s="6"/>
      <c r="C126" s="17"/>
      <c r="D126" s="6"/>
      <c r="E126" s="17"/>
      <c r="F126" s="17"/>
      <c r="G126" s="6"/>
      <c r="H126" s="17"/>
      <c r="I126" s="17"/>
      <c r="J126" s="6"/>
      <c r="K126" s="17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>
      <c r="A127" s="6"/>
      <c r="B127" s="6"/>
      <c r="C127" s="17"/>
      <c r="D127" s="6"/>
      <c r="E127" s="17"/>
      <c r="F127" s="17"/>
      <c r="G127" s="6"/>
      <c r="H127" s="17"/>
      <c r="I127" s="17"/>
      <c r="J127" s="6"/>
      <c r="K127" s="17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>
      <c r="A128" s="6"/>
      <c r="B128" s="6"/>
      <c r="C128" s="17"/>
      <c r="D128" s="6"/>
      <c r="E128" s="17"/>
      <c r="F128" s="17"/>
      <c r="G128" s="6"/>
      <c r="H128" s="17"/>
      <c r="I128" s="17"/>
      <c r="J128" s="6"/>
      <c r="K128" s="17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>
      <c r="A129" s="6"/>
      <c r="B129" s="6"/>
      <c r="C129" s="17"/>
      <c r="D129" s="6"/>
      <c r="E129" s="17"/>
      <c r="F129" s="17"/>
      <c r="G129" s="6"/>
      <c r="H129" s="17"/>
      <c r="I129" s="17"/>
      <c r="J129" s="6"/>
      <c r="K129" s="17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>
      <c r="A130" s="6"/>
      <c r="B130" s="6"/>
      <c r="C130" s="17"/>
      <c r="D130" s="6"/>
      <c r="E130" s="17"/>
      <c r="F130" s="17"/>
      <c r="G130" s="6"/>
      <c r="H130" s="17"/>
      <c r="I130" s="17"/>
      <c r="J130" s="6"/>
      <c r="K130" s="17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>
      <c r="A131" s="6"/>
      <c r="B131" s="6"/>
      <c r="C131" s="17"/>
      <c r="D131" s="6"/>
      <c r="E131" s="17"/>
      <c r="F131" s="17"/>
      <c r="G131" s="6"/>
      <c r="H131" s="17"/>
      <c r="I131" s="17"/>
      <c r="J131" s="6"/>
      <c r="K131" s="17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>
      <c r="A132" s="6"/>
      <c r="B132" s="6"/>
      <c r="C132" s="17"/>
      <c r="D132" s="6"/>
      <c r="E132" s="17"/>
      <c r="F132" s="17"/>
      <c r="G132" s="6"/>
      <c r="H132" s="17"/>
      <c r="I132" s="17"/>
      <c r="J132" s="6"/>
      <c r="K132" s="17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>
      <c r="A133" s="6"/>
      <c r="B133" s="6"/>
      <c r="C133" s="17"/>
      <c r="D133" s="6"/>
      <c r="E133" s="17"/>
      <c r="F133" s="17"/>
      <c r="G133" s="6"/>
      <c r="H133" s="17"/>
      <c r="I133" s="17"/>
      <c r="J133" s="6"/>
      <c r="K133" s="17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>
      <c r="A134" s="6"/>
      <c r="B134" s="6"/>
      <c r="C134" s="17"/>
      <c r="D134" s="6"/>
      <c r="E134" s="17"/>
      <c r="F134" s="17"/>
      <c r="G134" s="6"/>
      <c r="H134" s="17"/>
      <c r="I134" s="17"/>
      <c r="J134" s="6"/>
      <c r="K134" s="17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>
      <c r="A135" s="6"/>
      <c r="B135" s="6"/>
      <c r="C135" s="17"/>
      <c r="D135" s="6"/>
      <c r="E135" s="17"/>
      <c r="F135" s="17"/>
      <c r="G135" s="6"/>
      <c r="H135" s="17"/>
      <c r="I135" s="17"/>
      <c r="J135" s="6"/>
      <c r="K135" s="17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>
      <c r="A136" s="6"/>
      <c r="B136" s="6"/>
      <c r="C136" s="17"/>
      <c r="D136" s="6"/>
      <c r="E136" s="17"/>
      <c r="F136" s="17"/>
      <c r="G136" s="6"/>
      <c r="H136" s="17"/>
      <c r="I136" s="17"/>
      <c r="J136" s="6"/>
      <c r="K136" s="17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>
      <c r="A137" s="6"/>
      <c r="B137" s="6"/>
      <c r="C137" s="17"/>
      <c r="D137" s="6"/>
      <c r="E137" s="17"/>
      <c r="F137" s="17"/>
      <c r="G137" s="6"/>
      <c r="H137" s="17"/>
      <c r="I137" s="17"/>
      <c r="J137" s="6"/>
      <c r="K137" s="17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>
      <c r="A138" s="6"/>
      <c r="B138" s="6"/>
      <c r="C138" s="17"/>
      <c r="D138" s="6"/>
      <c r="E138" s="17"/>
      <c r="F138" s="17"/>
      <c r="G138" s="6"/>
      <c r="H138" s="17"/>
      <c r="I138" s="17"/>
      <c r="J138" s="6"/>
      <c r="K138" s="17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>
      <c r="A139" s="6"/>
      <c r="B139" s="6"/>
      <c r="C139" s="17"/>
      <c r="D139" s="6"/>
      <c r="E139" s="17"/>
      <c r="F139" s="17"/>
      <c r="G139" s="6"/>
      <c r="H139" s="17"/>
      <c r="I139" s="17"/>
      <c r="J139" s="6"/>
      <c r="K139" s="17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>
      <c r="A140" s="6"/>
      <c r="B140" s="6"/>
      <c r="C140" s="17"/>
      <c r="D140" s="6"/>
      <c r="E140" s="17"/>
      <c r="F140" s="17"/>
      <c r="G140" s="6"/>
      <c r="H140" s="17"/>
      <c r="I140" s="17"/>
      <c r="J140" s="6"/>
      <c r="K140" s="17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>
      <c r="A141" s="6"/>
      <c r="B141" s="6"/>
      <c r="C141" s="17"/>
      <c r="D141" s="6"/>
      <c r="E141" s="17"/>
      <c r="F141" s="17"/>
      <c r="G141" s="6"/>
      <c r="H141" s="17"/>
      <c r="I141" s="17"/>
      <c r="J141" s="6"/>
      <c r="K141" s="17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>
      <c r="A142" s="6"/>
      <c r="B142" s="6"/>
      <c r="C142" s="17"/>
      <c r="D142" s="6"/>
      <c r="E142" s="17"/>
      <c r="F142" s="17"/>
      <c r="G142" s="6"/>
      <c r="H142" s="17"/>
      <c r="I142" s="17"/>
      <c r="J142" s="6"/>
      <c r="K142" s="17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>
      <c r="A143" s="6"/>
      <c r="B143" s="6"/>
      <c r="C143" s="17"/>
      <c r="D143" s="6"/>
      <c r="E143" s="17"/>
      <c r="F143" s="17"/>
      <c r="G143" s="6"/>
      <c r="H143" s="17"/>
      <c r="I143" s="17"/>
      <c r="J143" s="6"/>
      <c r="K143" s="17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>
      <c r="A144" s="6"/>
      <c r="B144" s="6"/>
      <c r="C144" s="17"/>
      <c r="D144" s="6"/>
      <c r="E144" s="17"/>
      <c r="F144" s="17"/>
      <c r="G144" s="6"/>
      <c r="H144" s="17"/>
      <c r="I144" s="17"/>
      <c r="J144" s="6"/>
      <c r="K144" s="17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>
      <c r="A145" s="6"/>
      <c r="B145" s="6"/>
      <c r="C145" s="17"/>
      <c r="D145" s="6"/>
      <c r="E145" s="17"/>
      <c r="F145" s="17"/>
      <c r="G145" s="6"/>
      <c r="H145" s="17"/>
      <c r="I145" s="17"/>
      <c r="J145" s="6"/>
      <c r="K145" s="17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>
      <c r="A146" s="6"/>
      <c r="B146" s="6"/>
      <c r="C146" s="17"/>
      <c r="D146" s="6"/>
      <c r="E146" s="17"/>
      <c r="F146" s="17"/>
      <c r="G146" s="6"/>
      <c r="H146" s="17"/>
      <c r="I146" s="17"/>
      <c r="J146" s="6"/>
      <c r="K146" s="17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>
      <c r="A147" s="6"/>
      <c r="B147" s="6"/>
      <c r="C147" s="17"/>
      <c r="D147" s="6"/>
      <c r="E147" s="17"/>
      <c r="F147" s="17"/>
      <c r="G147" s="6"/>
      <c r="H147" s="17"/>
      <c r="I147" s="17"/>
      <c r="J147" s="6"/>
      <c r="K147" s="17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>
      <c r="A148" s="6"/>
      <c r="B148" s="6"/>
      <c r="C148" s="17"/>
      <c r="D148" s="6"/>
      <c r="E148" s="17"/>
      <c r="F148" s="17"/>
      <c r="G148" s="6"/>
      <c r="H148" s="17"/>
      <c r="I148" s="17"/>
      <c r="J148" s="6"/>
      <c r="K148" s="17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>
      <c r="A149" s="6"/>
      <c r="B149" s="6"/>
      <c r="C149" s="17"/>
      <c r="D149" s="6"/>
      <c r="E149" s="17"/>
      <c r="F149" s="17"/>
      <c r="G149" s="6"/>
      <c r="H149" s="17"/>
      <c r="I149" s="17"/>
      <c r="J149" s="6"/>
      <c r="K149" s="17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>
      <c r="A150" s="6"/>
      <c r="B150" s="6"/>
      <c r="C150" s="17"/>
      <c r="D150" s="6"/>
      <c r="E150" s="17"/>
      <c r="F150" s="17"/>
      <c r="G150" s="6"/>
      <c r="H150" s="17"/>
      <c r="I150" s="17"/>
      <c r="J150" s="6"/>
      <c r="K150" s="17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>
      <c r="A151" s="6"/>
      <c r="B151" s="6"/>
      <c r="C151" s="17"/>
      <c r="D151" s="6"/>
      <c r="E151" s="17"/>
      <c r="F151" s="17"/>
      <c r="G151" s="6"/>
      <c r="H151" s="17"/>
      <c r="I151" s="17"/>
      <c r="J151" s="6"/>
      <c r="K151" s="17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>
      <c r="A152" s="6"/>
      <c r="B152" s="6"/>
      <c r="C152" s="17"/>
      <c r="D152" s="6"/>
      <c r="E152" s="17"/>
      <c r="F152" s="17"/>
      <c r="G152" s="6"/>
      <c r="H152" s="17"/>
      <c r="I152" s="17"/>
      <c r="J152" s="6"/>
      <c r="K152" s="17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>
      <c r="A153" s="6"/>
      <c r="B153" s="6"/>
      <c r="C153" s="17"/>
      <c r="D153" s="6"/>
      <c r="E153" s="17"/>
      <c r="F153" s="17"/>
      <c r="G153" s="6"/>
      <c r="H153" s="17"/>
      <c r="I153" s="17"/>
      <c r="J153" s="6"/>
      <c r="K153" s="17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>
      <c r="A154" s="6"/>
      <c r="B154" s="6"/>
      <c r="C154" s="17"/>
      <c r="D154" s="6"/>
      <c r="E154" s="17"/>
      <c r="F154" s="17"/>
      <c r="G154" s="6"/>
      <c r="H154" s="17"/>
      <c r="I154" s="17"/>
      <c r="J154" s="6"/>
      <c r="K154" s="17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>
      <c r="A155" s="6"/>
      <c r="B155" s="6"/>
      <c r="C155" s="17"/>
      <c r="D155" s="6"/>
      <c r="E155" s="17"/>
      <c r="F155" s="17"/>
      <c r="G155" s="6"/>
      <c r="H155" s="17"/>
      <c r="I155" s="17"/>
      <c r="J155" s="6"/>
      <c r="K155" s="17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>
      <c r="A156" s="6"/>
      <c r="B156" s="6"/>
      <c r="C156" s="17"/>
      <c r="D156" s="6"/>
      <c r="E156" s="17"/>
      <c r="F156" s="17"/>
      <c r="G156" s="6"/>
      <c r="H156" s="17"/>
      <c r="I156" s="17"/>
      <c r="J156" s="6"/>
      <c r="K156" s="17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>
      <c r="A157" s="6"/>
      <c r="B157" s="6"/>
      <c r="C157" s="17"/>
      <c r="D157" s="6"/>
      <c r="E157" s="17"/>
      <c r="F157" s="17"/>
      <c r="G157" s="6"/>
      <c r="H157" s="17"/>
      <c r="I157" s="17"/>
      <c r="J157" s="6"/>
      <c r="K157" s="17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>
      <c r="A158" s="6"/>
      <c r="B158" s="6"/>
      <c r="C158" s="17"/>
      <c r="D158" s="6"/>
      <c r="E158" s="17"/>
      <c r="F158" s="17"/>
      <c r="G158" s="6"/>
      <c r="H158" s="17"/>
      <c r="I158" s="17"/>
      <c r="J158" s="6"/>
      <c r="K158" s="17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>
      <c r="A159" s="6"/>
      <c r="B159" s="6"/>
      <c r="C159" s="17"/>
      <c r="D159" s="6"/>
      <c r="E159" s="17"/>
      <c r="F159" s="17"/>
      <c r="G159" s="6"/>
      <c r="H159" s="17"/>
      <c r="I159" s="17"/>
      <c r="J159" s="6"/>
      <c r="K159" s="17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>
      <c r="A160" s="6"/>
      <c r="B160" s="6"/>
      <c r="C160" s="17"/>
      <c r="D160" s="6"/>
      <c r="E160" s="17"/>
      <c r="F160" s="17"/>
      <c r="G160" s="6"/>
      <c r="H160" s="17"/>
      <c r="I160" s="17"/>
      <c r="J160" s="6"/>
      <c r="K160" s="17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>
      <c r="A161" s="6"/>
      <c r="B161" s="6"/>
      <c r="C161" s="17"/>
      <c r="D161" s="6"/>
      <c r="E161" s="17"/>
      <c r="F161" s="17"/>
      <c r="G161" s="6"/>
      <c r="H161" s="17"/>
      <c r="I161" s="17"/>
      <c r="J161" s="6"/>
      <c r="K161" s="17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>
      <c r="A162" s="6"/>
      <c r="B162" s="6"/>
      <c r="C162" s="17"/>
      <c r="D162" s="6"/>
      <c r="E162" s="17"/>
      <c r="F162" s="17"/>
      <c r="G162" s="6"/>
      <c r="H162" s="17"/>
      <c r="I162" s="17"/>
      <c r="J162" s="6"/>
      <c r="K162" s="17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>
      <c r="A163" s="6"/>
      <c r="B163" s="6"/>
      <c r="C163" s="17"/>
      <c r="D163" s="6"/>
      <c r="E163" s="17"/>
      <c r="F163" s="17"/>
      <c r="G163" s="6"/>
      <c r="H163" s="17"/>
      <c r="I163" s="17"/>
      <c r="J163" s="6"/>
      <c r="K163" s="17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>
      <c r="A164" s="6"/>
      <c r="B164" s="6"/>
      <c r="C164" s="17"/>
      <c r="D164" s="6"/>
      <c r="E164" s="17"/>
      <c r="F164" s="17"/>
      <c r="G164" s="6"/>
      <c r="H164" s="17"/>
      <c r="I164" s="17"/>
      <c r="J164" s="6"/>
      <c r="K164" s="17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>
      <c r="A165" s="6"/>
      <c r="B165" s="6"/>
      <c r="C165" s="17"/>
      <c r="D165" s="6"/>
      <c r="E165" s="18"/>
      <c r="F165" s="17"/>
      <c r="G165" s="6"/>
      <c r="H165" s="18"/>
      <c r="I165" s="17"/>
      <c r="J165" s="6"/>
      <c r="K165" s="17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>
      <c r="A166" s="6"/>
      <c r="B166" s="6"/>
      <c r="C166" s="17"/>
      <c r="D166" s="6"/>
      <c r="E166" s="18"/>
      <c r="F166" s="17"/>
      <c r="G166" s="6"/>
      <c r="H166" s="18"/>
      <c r="I166" s="17"/>
      <c r="J166" s="6"/>
      <c r="K166" s="17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>
      <c r="A167" s="6"/>
      <c r="B167" s="6"/>
      <c r="C167" s="17"/>
      <c r="D167" s="6"/>
      <c r="E167" s="18"/>
      <c r="F167" s="17"/>
      <c r="G167" s="6"/>
      <c r="H167" s="18"/>
      <c r="I167" s="17"/>
      <c r="J167" s="6"/>
      <c r="K167" s="17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>
      <c r="A168" s="6"/>
      <c r="B168" s="6"/>
      <c r="C168" s="17"/>
      <c r="D168" s="6"/>
      <c r="E168" s="18"/>
      <c r="F168" s="17"/>
      <c r="G168" s="6"/>
      <c r="H168" s="18"/>
      <c r="I168" s="17"/>
      <c r="J168" s="6"/>
      <c r="K168" s="17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>
      <c r="A169" s="6"/>
      <c r="B169" s="6"/>
      <c r="C169" s="17"/>
      <c r="D169" s="6"/>
      <c r="E169" s="18"/>
      <c r="F169" s="17"/>
      <c r="G169" s="6"/>
      <c r="H169" s="18"/>
      <c r="I169" s="17"/>
      <c r="J169" s="6"/>
      <c r="K169" s="17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>
      <c r="A170" s="6"/>
      <c r="B170" s="6"/>
      <c r="C170" s="17"/>
      <c r="D170" s="6"/>
      <c r="E170" s="18"/>
      <c r="F170" s="17"/>
      <c r="G170" s="6"/>
      <c r="H170" s="18"/>
      <c r="I170" s="17"/>
      <c r="J170" s="6"/>
      <c r="K170" s="17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>
      <c r="A171" s="6"/>
      <c r="B171" s="6"/>
      <c r="C171" s="17"/>
      <c r="D171" s="6"/>
      <c r="E171" s="18"/>
      <c r="F171" s="17"/>
      <c r="G171" s="6"/>
      <c r="H171" s="18"/>
      <c r="I171" s="17"/>
      <c r="J171" s="6"/>
      <c r="K171" s="17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>
      <c r="A172" s="6"/>
      <c r="B172" s="6"/>
      <c r="C172" s="17"/>
      <c r="D172" s="6"/>
      <c r="E172" s="18"/>
      <c r="F172" s="17"/>
      <c r="G172" s="6"/>
      <c r="H172" s="18"/>
      <c r="I172" s="17"/>
      <c r="J172" s="6"/>
      <c r="K172" s="17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>
      <c r="A173" s="6"/>
      <c r="B173" s="6"/>
      <c r="C173" s="17"/>
      <c r="D173" s="6"/>
      <c r="E173" s="18"/>
      <c r="F173" s="17"/>
      <c r="G173" s="6"/>
      <c r="H173" s="18"/>
      <c r="I173" s="17"/>
      <c r="J173" s="6"/>
      <c r="K173" s="17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>
      <c r="A174" s="6"/>
      <c r="B174" s="6"/>
      <c r="C174" s="17"/>
      <c r="D174" s="6"/>
      <c r="E174" s="18"/>
      <c r="F174" s="17"/>
      <c r="G174" s="6"/>
      <c r="H174" s="18"/>
      <c r="I174" s="17"/>
      <c r="J174" s="6"/>
      <c r="K174" s="17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>
      <c r="A175" s="6"/>
      <c r="B175" s="6"/>
      <c r="C175" s="17"/>
      <c r="D175" s="6"/>
      <c r="E175" s="18"/>
      <c r="F175" s="17"/>
      <c r="G175" s="6"/>
      <c r="H175" s="18"/>
      <c r="I175" s="17"/>
      <c r="J175" s="6"/>
      <c r="K175" s="17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>
      <c r="A176" s="6"/>
      <c r="B176" s="6"/>
      <c r="C176" s="17"/>
      <c r="D176" s="6"/>
      <c r="E176" s="18"/>
      <c r="F176" s="17"/>
      <c r="G176" s="6"/>
      <c r="H176" s="18"/>
      <c r="I176" s="17"/>
      <c r="J176" s="6"/>
      <c r="K176" s="17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>
      <c r="A177" s="6"/>
      <c r="B177" s="6"/>
      <c r="C177" s="17"/>
      <c r="D177" s="6"/>
      <c r="E177" s="18"/>
      <c r="F177" s="17"/>
      <c r="G177" s="6"/>
      <c r="H177" s="18"/>
      <c r="I177" s="17"/>
      <c r="J177" s="6"/>
      <c r="K177" s="17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>
      <c r="A178" s="6"/>
      <c r="B178" s="6"/>
      <c r="C178" s="17"/>
      <c r="D178" s="6"/>
      <c r="E178" s="18"/>
      <c r="F178" s="17"/>
      <c r="G178" s="6"/>
      <c r="H178" s="18"/>
      <c r="I178" s="17"/>
      <c r="J178" s="6"/>
      <c r="K178" s="17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>
      <c r="A179" s="6"/>
      <c r="B179" s="6"/>
      <c r="C179" s="17"/>
      <c r="D179" s="6"/>
      <c r="E179" s="18"/>
      <c r="F179" s="17"/>
      <c r="G179" s="6"/>
      <c r="H179" s="18"/>
      <c r="I179" s="17"/>
      <c r="J179" s="6"/>
      <c r="K179" s="17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>
      <c r="A180" s="6"/>
      <c r="B180" s="6"/>
      <c r="C180" s="17"/>
      <c r="D180" s="6"/>
      <c r="E180" s="18"/>
      <c r="F180" s="17"/>
      <c r="G180" s="6"/>
      <c r="H180" s="18"/>
      <c r="I180" s="17"/>
      <c r="J180" s="6"/>
      <c r="K180" s="17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>
      <c r="A181" s="6"/>
      <c r="B181" s="6"/>
      <c r="C181" s="17"/>
      <c r="D181" s="6"/>
      <c r="E181" s="18"/>
      <c r="F181" s="17"/>
      <c r="G181" s="6"/>
      <c r="H181" s="18"/>
      <c r="I181" s="17"/>
      <c r="J181" s="6"/>
      <c r="K181" s="17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>
      <c r="A182" s="6"/>
      <c r="B182" s="6"/>
      <c r="C182" s="17"/>
      <c r="D182" s="6"/>
      <c r="E182" s="18"/>
      <c r="F182" s="17"/>
      <c r="G182" s="6"/>
      <c r="H182" s="18"/>
      <c r="I182" s="17"/>
      <c r="J182" s="6"/>
      <c r="K182" s="17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>
      <c r="A183" s="6"/>
      <c r="B183" s="6"/>
      <c r="C183" s="17"/>
      <c r="D183" s="6"/>
      <c r="E183" s="18"/>
      <c r="F183" s="17"/>
      <c r="G183" s="6"/>
      <c r="H183" s="18"/>
      <c r="I183" s="17"/>
      <c r="J183" s="6"/>
      <c r="K183" s="17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>
      <c r="A184" s="6"/>
      <c r="B184" s="6"/>
      <c r="C184" s="17"/>
      <c r="D184" s="6"/>
      <c r="E184" s="18"/>
      <c r="F184" s="17"/>
      <c r="G184" s="6"/>
      <c r="H184" s="18"/>
      <c r="I184" s="17"/>
      <c r="J184" s="6"/>
      <c r="K184" s="17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>
      <c r="A185" s="6"/>
      <c r="B185" s="6"/>
      <c r="C185" s="17"/>
      <c r="D185" s="6"/>
      <c r="E185" s="18"/>
      <c r="F185" s="17"/>
      <c r="G185" s="6"/>
      <c r="H185" s="18"/>
      <c r="I185" s="17"/>
      <c r="J185" s="6"/>
      <c r="K185" s="17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>
      <c r="A186" s="6"/>
      <c r="B186" s="6"/>
      <c r="C186" s="17"/>
      <c r="D186" s="6"/>
      <c r="E186" s="18"/>
      <c r="F186" s="17"/>
      <c r="G186" s="6"/>
      <c r="H186" s="18"/>
      <c r="I186" s="17"/>
      <c r="J186" s="6"/>
      <c r="K186" s="17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>
      <c r="A187" s="6"/>
      <c r="B187" s="6"/>
      <c r="C187" s="17"/>
      <c r="D187" s="6"/>
      <c r="E187" s="18"/>
      <c r="F187" s="17"/>
      <c r="G187" s="6"/>
      <c r="H187" s="18"/>
      <c r="I187" s="17"/>
      <c r="J187" s="6"/>
      <c r="K187" s="17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>
      <c r="A188" s="6"/>
      <c r="B188" s="6"/>
      <c r="C188" s="17"/>
      <c r="D188" s="6"/>
      <c r="E188" s="18"/>
      <c r="F188" s="17"/>
      <c r="G188" s="6"/>
      <c r="H188" s="18"/>
      <c r="I188" s="17"/>
      <c r="J188" s="6"/>
      <c r="K188" s="17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>
      <c r="A189" s="6"/>
      <c r="B189" s="6"/>
      <c r="C189" s="17"/>
      <c r="D189" s="6"/>
      <c r="E189" s="18"/>
      <c r="F189" s="17"/>
      <c r="G189" s="6"/>
      <c r="H189" s="18"/>
      <c r="I189" s="17"/>
      <c r="J189" s="6"/>
      <c r="K189" s="17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>
      <c r="A190" s="6"/>
      <c r="B190" s="6"/>
      <c r="C190" s="17"/>
      <c r="D190" s="6"/>
      <c r="E190" s="18"/>
      <c r="F190" s="17"/>
      <c r="G190" s="6"/>
      <c r="H190" s="18"/>
      <c r="I190" s="17"/>
      <c r="J190" s="6"/>
      <c r="K190" s="17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>
      <c r="A191" s="6"/>
      <c r="B191" s="6"/>
      <c r="C191" s="17"/>
      <c r="D191" s="6"/>
      <c r="E191" s="18"/>
      <c r="F191" s="17"/>
      <c r="G191" s="6"/>
      <c r="H191" s="18"/>
      <c r="I191" s="17"/>
      <c r="J191" s="6"/>
      <c r="K191" s="17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>
      <c r="A192" s="6"/>
      <c r="B192" s="6"/>
      <c r="C192" s="17"/>
      <c r="D192" s="6"/>
      <c r="E192" s="18"/>
      <c r="F192" s="17"/>
      <c r="G192" s="6"/>
      <c r="H192" s="18"/>
      <c r="I192" s="17"/>
      <c r="J192" s="6"/>
      <c r="K192" s="17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>
      <c r="A193" s="6"/>
      <c r="B193" s="6"/>
      <c r="C193" s="17"/>
      <c r="D193" s="6"/>
      <c r="E193" s="18"/>
      <c r="F193" s="17"/>
      <c r="G193" s="6"/>
      <c r="H193" s="18"/>
      <c r="I193" s="17"/>
      <c r="J193" s="6"/>
      <c r="K193" s="17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>
      <c r="A194" s="6"/>
      <c r="B194" s="6"/>
      <c r="C194" s="17"/>
      <c r="D194" s="6"/>
      <c r="E194" s="18"/>
      <c r="F194" s="17"/>
      <c r="G194" s="6"/>
      <c r="H194" s="18"/>
      <c r="I194" s="17"/>
      <c r="J194" s="6"/>
      <c r="K194" s="17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>
      <c r="A195" s="6"/>
      <c r="B195" s="6"/>
      <c r="C195" s="17"/>
      <c r="D195" s="6"/>
      <c r="E195" s="18"/>
      <c r="F195" s="17"/>
      <c r="G195" s="6"/>
      <c r="H195" s="18"/>
      <c r="I195" s="17"/>
      <c r="J195" s="6"/>
      <c r="K195" s="17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>
      <c r="A196" s="6"/>
      <c r="B196" s="6"/>
      <c r="C196" s="17"/>
      <c r="D196" s="6"/>
      <c r="E196" s="18"/>
      <c r="F196" s="17"/>
      <c r="G196" s="6"/>
      <c r="H196" s="18"/>
      <c r="I196" s="17"/>
      <c r="J196" s="6"/>
      <c r="K196" s="17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>
      <c r="A197" s="6"/>
      <c r="B197" s="6"/>
      <c r="C197" s="17"/>
      <c r="D197" s="6"/>
      <c r="E197" s="18"/>
      <c r="F197" s="17"/>
      <c r="G197" s="6"/>
      <c r="H197" s="18"/>
      <c r="I197" s="17"/>
      <c r="J197" s="6"/>
      <c r="K197" s="17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>
      <c r="A198" s="6"/>
      <c r="B198" s="6"/>
      <c r="C198" s="17"/>
      <c r="D198" s="6"/>
      <c r="E198" s="18"/>
      <c r="F198" s="17"/>
      <c r="G198" s="6"/>
      <c r="H198" s="18"/>
      <c r="I198" s="17"/>
      <c r="J198" s="6"/>
      <c r="K198" s="17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>
      <c r="A199" s="6"/>
      <c r="B199" s="6"/>
      <c r="C199" s="17"/>
      <c r="D199" s="6"/>
      <c r="E199" s="18"/>
      <c r="F199" s="17"/>
      <c r="G199" s="6"/>
      <c r="H199" s="18"/>
      <c r="I199" s="17"/>
      <c r="J199" s="6"/>
      <c r="K199" s="17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>
      <c r="A200" s="6"/>
      <c r="B200" s="6"/>
      <c r="C200" s="17"/>
      <c r="D200" s="6"/>
      <c r="E200" s="18"/>
      <c r="F200" s="17"/>
      <c r="G200" s="6"/>
      <c r="H200" s="18"/>
      <c r="I200" s="17"/>
      <c r="J200" s="6"/>
      <c r="K200" s="17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>
      <c r="A201" s="6"/>
      <c r="B201" s="6"/>
      <c r="C201" s="17"/>
      <c r="D201" s="6"/>
      <c r="E201" s="18"/>
      <c r="F201" s="17"/>
      <c r="G201" s="6"/>
      <c r="H201" s="18"/>
      <c r="I201" s="17"/>
      <c r="J201" s="6"/>
      <c r="K201" s="17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>
      <c r="A202" s="6"/>
      <c r="B202" s="6"/>
      <c r="C202" s="17"/>
      <c r="D202" s="6"/>
      <c r="E202" s="18"/>
      <c r="F202" s="17"/>
      <c r="G202" s="6"/>
      <c r="H202" s="18"/>
      <c r="I202" s="17"/>
      <c r="J202" s="6"/>
      <c r="K202" s="17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>
      <c r="A203" s="6"/>
      <c r="B203" s="6"/>
      <c r="C203" s="17"/>
      <c r="D203" s="6"/>
      <c r="E203" s="18"/>
      <c r="F203" s="17"/>
      <c r="G203" s="6"/>
      <c r="H203" s="18"/>
      <c r="I203" s="17"/>
      <c r="J203" s="6"/>
      <c r="K203" s="17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>
      <c r="A204" s="6"/>
      <c r="B204" s="6"/>
      <c r="C204" s="17"/>
      <c r="D204" s="6"/>
      <c r="E204" s="18"/>
      <c r="F204" s="17"/>
      <c r="G204" s="6"/>
      <c r="H204" s="18"/>
      <c r="I204" s="17"/>
      <c r="J204" s="6"/>
      <c r="K204" s="17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>
      <c r="A205" s="6"/>
      <c r="B205" s="6"/>
      <c r="C205" s="17"/>
      <c r="D205" s="6"/>
      <c r="E205" s="18"/>
      <c r="F205" s="17"/>
      <c r="G205" s="6"/>
      <c r="H205" s="18"/>
      <c r="I205" s="17"/>
      <c r="J205" s="6"/>
      <c r="K205" s="17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>
      <c r="A206" s="6"/>
      <c r="B206" s="6"/>
      <c r="C206" s="17"/>
      <c r="D206" s="6"/>
      <c r="E206" s="18"/>
      <c r="F206" s="17"/>
      <c r="G206" s="6"/>
      <c r="H206" s="18"/>
      <c r="I206" s="17"/>
      <c r="J206" s="6"/>
      <c r="K206" s="17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>
      <c r="A207" s="6"/>
      <c r="B207" s="6"/>
      <c r="C207" s="17"/>
      <c r="D207" s="6"/>
      <c r="E207" s="18"/>
      <c r="F207" s="17"/>
      <c r="G207" s="6"/>
      <c r="H207" s="18"/>
      <c r="I207" s="17"/>
      <c r="J207" s="6"/>
      <c r="K207" s="17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>
      <c r="A208" s="6"/>
      <c r="B208" s="6"/>
      <c r="C208" s="17"/>
      <c r="D208" s="6"/>
      <c r="E208" s="18"/>
      <c r="F208" s="17"/>
      <c r="G208" s="6"/>
      <c r="H208" s="18"/>
      <c r="I208" s="17"/>
      <c r="J208" s="6"/>
      <c r="K208" s="17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>
      <c r="A209" s="6"/>
      <c r="B209" s="6"/>
      <c r="C209" s="17"/>
      <c r="D209" s="6"/>
      <c r="E209" s="18"/>
      <c r="F209" s="17"/>
      <c r="G209" s="6"/>
      <c r="H209" s="18"/>
      <c r="I209" s="17"/>
      <c r="J209" s="6"/>
      <c r="K209" s="17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>
      <c r="A210" s="6"/>
      <c r="B210" s="6"/>
      <c r="C210" s="17"/>
      <c r="D210" s="6"/>
      <c r="E210" s="18"/>
      <c r="F210" s="17"/>
      <c r="G210" s="6"/>
      <c r="H210" s="18"/>
      <c r="I210" s="17"/>
      <c r="J210" s="6"/>
      <c r="K210" s="17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>
      <c r="A211" s="6"/>
      <c r="B211" s="6"/>
      <c r="C211" s="17"/>
      <c r="D211" s="6"/>
      <c r="E211" s="18"/>
      <c r="F211" s="17"/>
      <c r="G211" s="6"/>
      <c r="H211" s="18"/>
      <c r="I211" s="17"/>
      <c r="J211" s="6"/>
      <c r="K211" s="17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>
      <c r="A212" s="6"/>
      <c r="B212" s="6"/>
      <c r="C212" s="17"/>
      <c r="D212" s="6"/>
      <c r="E212" s="18"/>
      <c r="F212" s="17"/>
      <c r="G212" s="6"/>
      <c r="H212" s="18"/>
      <c r="I212" s="17"/>
      <c r="J212" s="6"/>
      <c r="K212" s="17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>
      <c r="A213" s="6"/>
      <c r="B213" s="6"/>
      <c r="C213" s="17"/>
      <c r="D213" s="6"/>
      <c r="E213" s="18"/>
      <c r="F213" s="17"/>
      <c r="G213" s="6"/>
      <c r="H213" s="18"/>
      <c r="I213" s="17"/>
      <c r="J213" s="6"/>
      <c r="K213" s="17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>
      <c r="A214" s="6"/>
      <c r="B214" s="6"/>
      <c r="C214" s="17"/>
      <c r="D214" s="6"/>
      <c r="E214" s="18"/>
      <c r="F214" s="17"/>
      <c r="G214" s="6"/>
      <c r="H214" s="18"/>
      <c r="I214" s="17"/>
      <c r="J214" s="6"/>
      <c r="K214" s="17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>
      <c r="A215" s="6"/>
      <c r="B215" s="6"/>
      <c r="C215" s="17"/>
      <c r="D215" s="6"/>
      <c r="E215" s="18"/>
      <c r="F215" s="17"/>
      <c r="G215" s="6"/>
      <c r="H215" s="18"/>
      <c r="I215" s="17"/>
      <c r="J215" s="6"/>
      <c r="K215" s="17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>
      <c r="A216" s="6"/>
      <c r="B216" s="6"/>
      <c r="C216" s="17"/>
      <c r="D216" s="6"/>
      <c r="E216" s="18"/>
      <c r="F216" s="17"/>
      <c r="G216" s="6"/>
      <c r="H216" s="18"/>
      <c r="I216" s="17"/>
      <c r="J216" s="6"/>
      <c r="K216" s="17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>
      <c r="A217" s="6"/>
      <c r="B217" s="6"/>
      <c r="C217" s="17"/>
      <c r="D217" s="6"/>
      <c r="E217" s="18"/>
      <c r="F217" s="17"/>
      <c r="G217" s="6"/>
      <c r="H217" s="18"/>
      <c r="I217" s="17"/>
      <c r="J217" s="6"/>
      <c r="K217" s="17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>
      <c r="A218" s="6"/>
      <c r="B218" s="6"/>
      <c r="C218" s="17"/>
      <c r="D218" s="6"/>
      <c r="E218" s="18"/>
      <c r="F218" s="17"/>
      <c r="G218" s="6"/>
      <c r="H218" s="18"/>
      <c r="I218" s="17"/>
      <c r="J218" s="6"/>
      <c r="K218" s="17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>
      <c r="A219" s="6"/>
      <c r="B219" s="6"/>
      <c r="C219" s="17"/>
      <c r="D219" s="6"/>
      <c r="E219" s="18"/>
      <c r="F219" s="17"/>
      <c r="G219" s="6"/>
      <c r="H219" s="18"/>
      <c r="I219" s="17"/>
      <c r="J219" s="6"/>
      <c r="K219" s="17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>
      <c r="A220" s="6"/>
      <c r="B220" s="6"/>
      <c r="C220" s="17"/>
      <c r="D220" s="6"/>
      <c r="E220" s="18"/>
      <c r="F220" s="17"/>
      <c r="G220" s="6"/>
      <c r="H220" s="18"/>
      <c r="I220" s="17"/>
      <c r="J220" s="6"/>
      <c r="K220" s="17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>
      <c r="A221" s="6"/>
      <c r="B221" s="6"/>
      <c r="C221" s="17"/>
      <c r="D221" s="6"/>
      <c r="E221" s="18"/>
      <c r="F221" s="17"/>
      <c r="G221" s="6"/>
      <c r="H221" s="18"/>
      <c r="I221" s="17"/>
      <c r="J221" s="6"/>
      <c r="K221" s="17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>
      <c r="A222" s="6"/>
      <c r="B222" s="6"/>
      <c r="C222" s="17"/>
      <c r="D222" s="6"/>
      <c r="E222" s="18"/>
      <c r="F222" s="17"/>
      <c r="G222" s="6"/>
      <c r="H222" s="18"/>
      <c r="I222" s="17"/>
      <c r="J222" s="6"/>
      <c r="K222" s="17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>
      <c r="A223" s="6"/>
      <c r="B223" s="6"/>
      <c r="C223" s="17"/>
      <c r="D223" s="6"/>
      <c r="E223" s="18"/>
      <c r="F223" s="17"/>
      <c r="G223" s="6"/>
      <c r="H223" s="18"/>
      <c r="I223" s="17"/>
      <c r="J223" s="6"/>
      <c r="K223" s="17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>
      <c r="A224" s="6"/>
      <c r="B224" s="6"/>
      <c r="C224" s="17"/>
      <c r="D224" s="6"/>
      <c r="E224" s="18"/>
      <c r="F224" s="17"/>
      <c r="G224" s="6"/>
      <c r="H224" s="18"/>
      <c r="I224" s="17"/>
      <c r="J224" s="6"/>
      <c r="K224" s="17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>
      <c r="A225" s="6"/>
      <c r="B225" s="6"/>
      <c r="C225" s="17"/>
      <c r="D225" s="6"/>
      <c r="E225" s="18"/>
      <c r="F225" s="17"/>
      <c r="G225" s="6"/>
      <c r="H225" s="18"/>
      <c r="I225" s="17"/>
      <c r="J225" s="6"/>
      <c r="K225" s="17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>
      <c r="A226" s="6"/>
      <c r="B226" s="6"/>
      <c r="C226" s="17"/>
      <c r="D226" s="6"/>
      <c r="E226" s="18"/>
      <c r="F226" s="17"/>
      <c r="G226" s="6"/>
      <c r="H226" s="18"/>
      <c r="I226" s="17"/>
      <c r="J226" s="6"/>
      <c r="K226" s="17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>
      <c r="A227" s="6"/>
      <c r="B227" s="6"/>
      <c r="C227" s="17"/>
      <c r="D227" s="6"/>
      <c r="E227" s="18"/>
      <c r="F227" s="17"/>
      <c r="G227" s="6"/>
      <c r="H227" s="18"/>
      <c r="I227" s="17"/>
      <c r="J227" s="6"/>
      <c r="K227" s="17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>
      <c r="A228" s="6"/>
      <c r="B228" s="6"/>
      <c r="C228" s="17"/>
      <c r="D228" s="6"/>
      <c r="E228" s="18"/>
      <c r="F228" s="17"/>
      <c r="G228" s="6"/>
      <c r="H228" s="18"/>
      <c r="I228" s="17"/>
      <c r="J228" s="6"/>
      <c r="K228" s="17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>
      <c r="A229" s="6"/>
      <c r="B229" s="6"/>
      <c r="C229" s="17"/>
      <c r="D229" s="6"/>
      <c r="E229" s="18"/>
      <c r="F229" s="17"/>
      <c r="G229" s="6"/>
      <c r="H229" s="18"/>
      <c r="I229" s="17"/>
      <c r="J229" s="6"/>
      <c r="K229" s="17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>
      <c r="A230" s="6"/>
      <c r="B230" s="6"/>
      <c r="C230" s="17"/>
      <c r="D230" s="6"/>
      <c r="E230" s="18"/>
      <c r="F230" s="17"/>
      <c r="G230" s="6"/>
      <c r="H230" s="18"/>
      <c r="I230" s="17"/>
      <c r="J230" s="6"/>
      <c r="K230" s="17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>
      <c r="A231" s="6"/>
      <c r="B231" s="6"/>
      <c r="C231" s="17"/>
      <c r="D231" s="6"/>
      <c r="E231" s="18"/>
      <c r="F231" s="17"/>
      <c r="G231" s="6"/>
      <c r="H231" s="18"/>
      <c r="I231" s="17"/>
      <c r="J231" s="6"/>
      <c r="K231" s="17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>
      <c r="A232" s="6"/>
      <c r="B232" s="6"/>
      <c r="C232" s="17"/>
      <c r="D232" s="6"/>
      <c r="E232" s="18"/>
      <c r="F232" s="17"/>
      <c r="G232" s="6"/>
      <c r="H232" s="18"/>
      <c r="I232" s="17"/>
      <c r="J232" s="6"/>
      <c r="K232" s="17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>
      <c r="A233" s="6"/>
      <c r="B233" s="6"/>
      <c r="C233" s="17"/>
      <c r="D233" s="6"/>
      <c r="E233" s="18"/>
      <c r="F233" s="17"/>
      <c r="G233" s="6"/>
      <c r="H233" s="18"/>
      <c r="I233" s="17"/>
      <c r="J233" s="6"/>
      <c r="K233" s="17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>
      <c r="A234" s="6"/>
      <c r="B234" s="6"/>
      <c r="C234" s="17"/>
      <c r="D234" s="6"/>
      <c r="E234" s="18"/>
      <c r="F234" s="17"/>
      <c r="G234" s="6"/>
      <c r="H234" s="18"/>
      <c r="I234" s="17"/>
      <c r="J234" s="6"/>
      <c r="K234" s="17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>
      <c r="A235" s="6"/>
      <c r="B235" s="6"/>
      <c r="C235" s="17"/>
      <c r="D235" s="6"/>
      <c r="E235" s="18"/>
      <c r="F235" s="17"/>
      <c r="G235" s="6"/>
      <c r="H235" s="18"/>
      <c r="I235" s="17"/>
      <c r="J235" s="6"/>
      <c r="K235" s="17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>
      <c r="A236" s="6"/>
      <c r="B236" s="6"/>
      <c r="C236" s="17"/>
      <c r="D236" s="6"/>
      <c r="E236" s="18"/>
      <c r="F236" s="17"/>
      <c r="G236" s="6"/>
      <c r="H236" s="18"/>
      <c r="I236" s="17"/>
      <c r="J236" s="6"/>
      <c r="K236" s="17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>
      <c r="A237" s="6"/>
      <c r="B237" s="6"/>
      <c r="C237" s="17"/>
      <c r="D237" s="6"/>
      <c r="E237" s="18"/>
      <c r="F237" s="17"/>
      <c r="G237" s="6"/>
      <c r="H237" s="18"/>
      <c r="I237" s="17"/>
      <c r="J237" s="6"/>
      <c r="K237" s="17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>
      <c r="A238" s="6"/>
      <c r="B238" s="6"/>
      <c r="C238" s="17"/>
      <c r="D238" s="6"/>
      <c r="E238" s="18"/>
      <c r="F238" s="17"/>
      <c r="G238" s="6"/>
      <c r="H238" s="18"/>
      <c r="I238" s="17"/>
      <c r="J238" s="6"/>
      <c r="K238" s="17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>
      <c r="A239" s="6"/>
      <c r="B239" s="6"/>
      <c r="C239" s="17"/>
      <c r="D239" s="6"/>
      <c r="E239" s="18"/>
      <c r="F239" s="17"/>
      <c r="G239" s="6"/>
      <c r="H239" s="18"/>
      <c r="I239" s="17"/>
      <c r="J239" s="6"/>
      <c r="K239" s="17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>
      <c r="A240" s="6"/>
      <c r="B240" s="6"/>
      <c r="C240" s="17"/>
      <c r="D240" s="6"/>
      <c r="E240" s="18"/>
      <c r="F240" s="17"/>
      <c r="G240" s="6"/>
      <c r="H240" s="18"/>
      <c r="I240" s="17"/>
      <c r="J240" s="6"/>
      <c r="K240" s="17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>
      <c r="A241" s="6"/>
      <c r="B241" s="6"/>
      <c r="C241" s="17"/>
      <c r="D241" s="6"/>
      <c r="E241" s="18"/>
      <c r="F241" s="17"/>
      <c r="G241" s="6"/>
      <c r="H241" s="18"/>
      <c r="I241" s="17"/>
      <c r="J241" s="6"/>
      <c r="K241" s="17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>
      <c r="A242" s="6"/>
      <c r="B242" s="6"/>
      <c r="C242" s="17"/>
      <c r="D242" s="6"/>
      <c r="E242" s="18"/>
      <c r="F242" s="17"/>
      <c r="G242" s="6"/>
      <c r="H242" s="18"/>
      <c r="I242" s="17"/>
      <c r="J242" s="6"/>
      <c r="K242" s="17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>
      <c r="A243" s="6"/>
      <c r="B243" s="6"/>
      <c r="C243" s="17"/>
      <c r="D243" s="6"/>
      <c r="E243" s="18"/>
      <c r="F243" s="17"/>
      <c r="G243" s="6"/>
      <c r="H243" s="18"/>
      <c r="I243" s="17"/>
      <c r="J243" s="6"/>
      <c r="K243" s="17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>
      <c r="A244" s="6"/>
      <c r="B244" s="6"/>
      <c r="C244" s="17"/>
      <c r="D244" s="6"/>
      <c r="E244" s="18"/>
      <c r="F244" s="17"/>
      <c r="G244" s="6"/>
      <c r="H244" s="18"/>
      <c r="I244" s="17"/>
      <c r="J244" s="6"/>
      <c r="K244" s="17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>
      <c r="A245" s="6"/>
      <c r="B245" s="6"/>
      <c r="C245" s="17"/>
      <c r="D245" s="6"/>
      <c r="E245" s="18"/>
      <c r="F245" s="17"/>
      <c r="G245" s="6"/>
      <c r="H245" s="18"/>
      <c r="I245" s="17"/>
      <c r="J245" s="6"/>
      <c r="K245" s="17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>
      <c r="A246" s="6"/>
      <c r="B246" s="6"/>
      <c r="C246" s="17"/>
      <c r="D246" s="6"/>
      <c r="E246" s="18"/>
      <c r="F246" s="17"/>
      <c r="G246" s="6"/>
      <c r="H246" s="18"/>
      <c r="I246" s="17"/>
      <c r="J246" s="6"/>
      <c r="K246" s="17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>
      <c r="A247" s="6"/>
      <c r="B247" s="6"/>
      <c r="C247" s="17"/>
      <c r="D247" s="6"/>
      <c r="E247" s="18"/>
      <c r="F247" s="17"/>
      <c r="G247" s="6"/>
      <c r="H247" s="18"/>
      <c r="I247" s="17"/>
      <c r="J247" s="6"/>
      <c r="K247" s="17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>
      <c r="A248" s="6"/>
      <c r="B248" s="6"/>
      <c r="C248" s="17"/>
      <c r="D248" s="6"/>
      <c r="E248" s="18"/>
      <c r="F248" s="17"/>
      <c r="G248" s="6"/>
      <c r="H248" s="18"/>
      <c r="I248" s="17"/>
      <c r="J248" s="6"/>
      <c r="K248" s="17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>
      <c r="A249" s="6"/>
      <c r="B249" s="6"/>
      <c r="C249" s="17"/>
      <c r="D249" s="6"/>
      <c r="E249" s="18"/>
      <c r="F249" s="17"/>
      <c r="G249" s="6"/>
      <c r="H249" s="18"/>
      <c r="I249" s="17"/>
      <c r="J249" s="6"/>
      <c r="K249" s="17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>
      <c r="A250" s="6"/>
      <c r="B250" s="6"/>
      <c r="C250" s="17"/>
      <c r="D250" s="6"/>
      <c r="E250" s="18"/>
      <c r="F250" s="17"/>
      <c r="G250" s="6"/>
      <c r="H250" s="18"/>
      <c r="I250" s="17"/>
      <c r="J250" s="6"/>
      <c r="K250" s="17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>
      <c r="A251" s="6"/>
      <c r="B251" s="6"/>
      <c r="C251" s="17"/>
      <c r="D251" s="6"/>
      <c r="E251" s="18"/>
      <c r="F251" s="17"/>
      <c r="G251" s="6"/>
      <c r="H251" s="18"/>
      <c r="I251" s="17"/>
      <c r="J251" s="6"/>
      <c r="K251" s="17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>
      <c r="A252" s="6"/>
      <c r="B252" s="6"/>
      <c r="C252" s="17"/>
      <c r="D252" s="6"/>
      <c r="E252" s="18"/>
      <c r="F252" s="17"/>
      <c r="G252" s="6"/>
      <c r="H252" s="18"/>
      <c r="I252" s="17"/>
      <c r="J252" s="6"/>
      <c r="K252" s="17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>
      <c r="A253" s="6"/>
      <c r="B253" s="6"/>
      <c r="C253" s="17"/>
      <c r="D253" s="6"/>
      <c r="E253" s="18"/>
      <c r="F253" s="17"/>
      <c r="G253" s="6"/>
      <c r="H253" s="18"/>
      <c r="I253" s="17"/>
      <c r="J253" s="6"/>
      <c r="K253" s="17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>
      <c r="A254" s="6"/>
      <c r="B254" s="6"/>
      <c r="C254" s="17"/>
      <c r="D254" s="6"/>
      <c r="E254" s="18"/>
      <c r="F254" s="17"/>
      <c r="G254" s="6"/>
      <c r="H254" s="18"/>
      <c r="I254" s="17"/>
      <c r="J254" s="6"/>
      <c r="K254" s="17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>
      <c r="A255" s="6"/>
      <c r="B255" s="6"/>
      <c r="C255" s="17"/>
      <c r="D255" s="6"/>
      <c r="E255" s="18"/>
      <c r="F255" s="17"/>
      <c r="G255" s="6"/>
      <c r="H255" s="18"/>
      <c r="I255" s="17"/>
      <c r="J255" s="6"/>
      <c r="K255" s="17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>
      <c r="A256" s="6"/>
      <c r="B256" s="6"/>
      <c r="C256" s="17"/>
      <c r="D256" s="6"/>
      <c r="E256" s="18"/>
      <c r="F256" s="17"/>
      <c r="G256" s="6"/>
      <c r="H256" s="18"/>
      <c r="I256" s="17"/>
      <c r="J256" s="6"/>
      <c r="K256" s="17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>
      <c r="A257" s="6"/>
      <c r="B257" s="6"/>
      <c r="C257" s="17"/>
      <c r="D257" s="6"/>
      <c r="E257" s="18"/>
      <c r="F257" s="17"/>
      <c r="G257" s="6"/>
      <c r="H257" s="18"/>
      <c r="I257" s="17"/>
      <c r="J257" s="6"/>
      <c r="K257" s="17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>
      <c r="A258" s="6"/>
      <c r="B258" s="6"/>
      <c r="C258" s="17"/>
      <c r="D258" s="6"/>
      <c r="E258" s="18"/>
      <c r="F258" s="17"/>
      <c r="G258" s="6"/>
      <c r="H258" s="18"/>
      <c r="I258" s="17"/>
      <c r="J258" s="6"/>
      <c r="K258" s="17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>
      <c r="A259" s="6"/>
      <c r="B259" s="6"/>
      <c r="C259" s="17"/>
      <c r="D259" s="6"/>
      <c r="E259" s="18"/>
      <c r="F259" s="17"/>
      <c r="G259" s="6"/>
      <c r="H259" s="18"/>
      <c r="I259" s="17"/>
      <c r="J259" s="6"/>
      <c r="K259" s="17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>
      <c r="A260" s="6"/>
      <c r="B260" s="6"/>
      <c r="C260" s="17"/>
      <c r="D260" s="6"/>
      <c r="E260" s="18"/>
      <c r="F260" s="17"/>
      <c r="G260" s="6"/>
      <c r="H260" s="18"/>
      <c r="I260" s="17"/>
      <c r="J260" s="6"/>
      <c r="K260" s="17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>
      <c r="A261" s="6"/>
      <c r="B261" s="6"/>
      <c r="C261" s="17"/>
      <c r="D261" s="6"/>
      <c r="E261" s="18"/>
      <c r="F261" s="17"/>
      <c r="G261" s="6"/>
      <c r="H261" s="18"/>
      <c r="I261" s="17"/>
      <c r="J261" s="6"/>
      <c r="K261" s="17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>
      <c r="A262" s="6"/>
      <c r="B262" s="6"/>
      <c r="C262" s="17"/>
      <c r="D262" s="6"/>
      <c r="E262" s="18"/>
      <c r="F262" s="17"/>
      <c r="G262" s="6"/>
      <c r="H262" s="18"/>
      <c r="I262" s="17"/>
      <c r="J262" s="6"/>
      <c r="K262" s="17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>
      <c r="A263" s="6"/>
      <c r="B263" s="6"/>
      <c r="C263" s="17"/>
      <c r="D263" s="6"/>
      <c r="E263" s="18"/>
      <c r="F263" s="17"/>
      <c r="G263" s="6"/>
      <c r="H263" s="18"/>
      <c r="I263" s="17"/>
      <c r="J263" s="6"/>
      <c r="K263" s="17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>
      <c r="A264" s="6"/>
      <c r="B264" s="6"/>
      <c r="C264" s="17"/>
      <c r="D264" s="6"/>
      <c r="E264" s="18"/>
      <c r="F264" s="17"/>
      <c r="G264" s="6"/>
      <c r="H264" s="18"/>
      <c r="I264" s="17"/>
      <c r="J264" s="6"/>
      <c r="K264" s="17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>
      <c r="A265" s="6"/>
      <c r="B265" s="6"/>
      <c r="C265" s="17"/>
      <c r="D265" s="6"/>
      <c r="E265" s="18"/>
      <c r="F265" s="17"/>
      <c r="G265" s="6"/>
      <c r="H265" s="18"/>
      <c r="I265" s="17"/>
      <c r="J265" s="6"/>
      <c r="K265" s="17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>
      <c r="A266" s="6"/>
      <c r="B266" s="6"/>
      <c r="C266" s="17"/>
      <c r="D266" s="6"/>
      <c r="E266" s="18"/>
      <c r="F266" s="17"/>
      <c r="G266" s="6"/>
      <c r="H266" s="18"/>
      <c r="I266" s="17"/>
      <c r="J266" s="6"/>
      <c r="K266" s="17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>
      <c r="A267" s="6"/>
      <c r="B267" s="6"/>
      <c r="C267" s="17"/>
      <c r="D267" s="6"/>
      <c r="E267" s="18"/>
      <c r="F267" s="17"/>
      <c r="G267" s="6"/>
      <c r="H267" s="18"/>
      <c r="I267" s="17"/>
      <c r="J267" s="6"/>
      <c r="K267" s="17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>
      <c r="A268" s="6"/>
      <c r="B268" s="6"/>
      <c r="C268" s="17"/>
      <c r="D268" s="6"/>
      <c r="E268" s="18"/>
      <c r="F268" s="17"/>
      <c r="G268" s="6"/>
      <c r="H268" s="18"/>
      <c r="I268" s="17"/>
      <c r="J268" s="6"/>
      <c r="K268" s="17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>
      <c r="A269" s="6"/>
      <c r="B269" s="6"/>
      <c r="C269" s="17"/>
      <c r="D269" s="6"/>
      <c r="E269" s="18"/>
      <c r="F269" s="17"/>
      <c r="G269" s="6"/>
      <c r="H269" s="18"/>
      <c r="I269" s="17"/>
      <c r="J269" s="6"/>
      <c r="K269" s="17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>
      <c r="A270" s="6"/>
      <c r="B270" s="6"/>
      <c r="C270" s="17"/>
      <c r="D270" s="6"/>
      <c r="E270" s="18"/>
      <c r="F270" s="17"/>
      <c r="G270" s="6"/>
      <c r="H270" s="18"/>
      <c r="I270" s="17"/>
      <c r="J270" s="6"/>
      <c r="K270" s="17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>
      <c r="A271" s="6"/>
      <c r="B271" s="6"/>
      <c r="C271" s="17"/>
      <c r="D271" s="6"/>
      <c r="E271" s="18"/>
      <c r="F271" s="17"/>
      <c r="G271" s="6"/>
      <c r="H271" s="18"/>
      <c r="I271" s="17"/>
      <c r="J271" s="6"/>
      <c r="K271" s="17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>
      <c r="A272" s="6"/>
      <c r="B272" s="6"/>
      <c r="C272" s="17"/>
      <c r="D272" s="6"/>
      <c r="E272" s="18"/>
      <c r="F272" s="17"/>
      <c r="G272" s="6"/>
      <c r="H272" s="18"/>
      <c r="I272" s="17"/>
      <c r="J272" s="6"/>
      <c r="K272" s="17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>
      <c r="A273" s="6"/>
      <c r="B273" s="6"/>
      <c r="C273" s="17"/>
      <c r="D273" s="6"/>
      <c r="E273" s="18"/>
      <c r="F273" s="17"/>
      <c r="G273" s="6"/>
      <c r="H273" s="18"/>
      <c r="I273" s="17"/>
      <c r="J273" s="6"/>
      <c r="K273" s="17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>
      <c r="A274" s="6"/>
      <c r="B274" s="6"/>
      <c r="C274" s="17"/>
      <c r="D274" s="6"/>
      <c r="E274" s="18"/>
      <c r="F274" s="17"/>
      <c r="G274" s="6"/>
      <c r="H274" s="18"/>
      <c r="I274" s="17"/>
      <c r="J274" s="6"/>
      <c r="K274" s="17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>
      <c r="A275" s="6"/>
      <c r="B275" s="6"/>
      <c r="C275" s="17"/>
      <c r="D275" s="6"/>
      <c r="E275" s="18"/>
      <c r="F275" s="17"/>
      <c r="G275" s="6"/>
      <c r="H275" s="18"/>
      <c r="I275" s="17"/>
      <c r="J275" s="6"/>
      <c r="K275" s="17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>
      <c r="A276" s="6"/>
      <c r="B276" s="110"/>
      <c r="C276" s="17"/>
      <c r="D276" s="6"/>
      <c r="E276" s="18"/>
      <c r="F276" s="17"/>
      <c r="G276" s="6"/>
      <c r="H276" s="18"/>
      <c r="I276" s="17"/>
      <c r="J276" s="6"/>
      <c r="K276" s="17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>
      <c r="A277" s="6"/>
      <c r="B277" s="110"/>
      <c r="C277" s="17"/>
      <c r="D277" s="6"/>
      <c r="E277" s="18"/>
      <c r="F277" s="17"/>
      <c r="G277" s="6"/>
      <c r="H277" s="18"/>
      <c r="I277" s="17"/>
      <c r="J277" s="6"/>
      <c r="K277" s="17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>
      <c r="A278" s="6"/>
      <c r="B278" s="110"/>
      <c r="C278" s="17"/>
      <c r="D278" s="6"/>
      <c r="E278" s="18"/>
      <c r="F278" s="17"/>
      <c r="G278" s="6"/>
      <c r="H278" s="18"/>
      <c r="I278" s="17"/>
      <c r="J278" s="6"/>
      <c r="K278" s="17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>
      <c r="A279" s="6"/>
      <c r="B279" s="110"/>
      <c r="C279" s="17"/>
      <c r="D279" s="6"/>
      <c r="E279" s="18"/>
      <c r="F279" s="17"/>
      <c r="G279" s="6"/>
      <c r="H279" s="18"/>
      <c r="I279" s="17"/>
      <c r="J279" s="6"/>
      <c r="K279" s="17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>
      <c r="A280" s="6"/>
      <c r="B280" s="110"/>
      <c r="C280" s="17"/>
      <c r="D280" s="6"/>
      <c r="E280" s="18"/>
      <c r="F280" s="17"/>
      <c r="G280" s="6"/>
      <c r="H280" s="18"/>
      <c r="I280" s="17"/>
      <c r="J280" s="6"/>
      <c r="K280" s="17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>
      <c r="A281" s="6"/>
      <c r="B281" s="110"/>
      <c r="C281" s="17"/>
      <c r="D281" s="6"/>
      <c r="E281" s="18"/>
      <c r="F281" s="17"/>
      <c r="G281" s="6"/>
      <c r="H281" s="18"/>
      <c r="I281" s="17"/>
      <c r="J281" s="6"/>
      <c r="K281" s="17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>
      <c r="A282" s="6"/>
      <c r="B282" s="110"/>
      <c r="C282" s="17"/>
      <c r="D282" s="6"/>
      <c r="E282" s="18"/>
      <c r="F282" s="17"/>
      <c r="G282" s="6"/>
      <c r="H282" s="18"/>
      <c r="I282" s="17"/>
      <c r="J282" s="6"/>
      <c r="K282" s="17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>
      <c r="A283" s="6"/>
      <c r="B283" s="110"/>
      <c r="C283" s="17"/>
      <c r="D283" s="6"/>
      <c r="E283" s="18"/>
      <c r="F283" s="17"/>
      <c r="G283" s="6"/>
      <c r="H283" s="18"/>
      <c r="I283" s="17"/>
      <c r="J283" s="6"/>
      <c r="K283" s="17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>
      <c r="A284" s="6"/>
      <c r="B284" s="110"/>
      <c r="C284" s="17"/>
      <c r="D284" s="6"/>
      <c r="E284" s="18"/>
      <c r="F284" s="17"/>
      <c r="G284" s="6"/>
      <c r="H284" s="18"/>
      <c r="I284" s="17"/>
      <c r="J284" s="6"/>
      <c r="K284" s="17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>
      <c r="A285" s="6"/>
      <c r="B285" s="110"/>
      <c r="C285" s="17"/>
      <c r="D285" s="6"/>
      <c r="E285" s="18"/>
      <c r="F285" s="17"/>
      <c r="G285" s="6"/>
      <c r="H285" s="18"/>
      <c r="I285" s="17"/>
      <c r="J285" s="6"/>
      <c r="K285" s="17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>
      <c r="A286" s="6"/>
      <c r="B286" s="110"/>
      <c r="C286" s="17"/>
      <c r="D286" s="6"/>
      <c r="E286" s="18"/>
      <c r="F286" s="17"/>
      <c r="G286" s="6"/>
      <c r="H286" s="18"/>
      <c r="I286" s="17"/>
      <c r="J286" s="6"/>
      <c r="K286" s="17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>
      <c r="A287" s="6"/>
      <c r="B287" s="110"/>
      <c r="C287" s="17"/>
      <c r="D287" s="6"/>
      <c r="E287" s="18"/>
      <c r="F287" s="17"/>
      <c r="G287" s="6"/>
      <c r="H287" s="18"/>
      <c r="I287" s="17"/>
      <c r="J287" s="6"/>
      <c r="K287" s="17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>
      <c r="A288" s="6"/>
      <c r="B288" s="110"/>
      <c r="C288" s="17"/>
      <c r="D288" s="6"/>
      <c r="E288" s="18"/>
      <c r="F288" s="17"/>
      <c r="G288" s="6"/>
      <c r="H288" s="18"/>
      <c r="I288" s="17"/>
      <c r="J288" s="6"/>
      <c r="K288" s="17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>
      <c r="A289" s="6"/>
      <c r="B289" s="110"/>
      <c r="C289" s="17"/>
      <c r="D289" s="6"/>
      <c r="E289" s="18"/>
      <c r="F289" s="17"/>
      <c r="G289" s="6"/>
      <c r="H289" s="18"/>
      <c r="I289" s="17"/>
      <c r="J289" s="6"/>
      <c r="K289" s="17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>
      <c r="A290" s="6"/>
      <c r="B290" s="110"/>
      <c r="C290" s="17"/>
      <c r="D290" s="6"/>
      <c r="E290" s="18"/>
      <c r="F290" s="17"/>
      <c r="G290" s="6"/>
      <c r="H290" s="18"/>
      <c r="I290" s="17"/>
      <c r="J290" s="6"/>
      <c r="K290" s="17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>
      <c r="A291" s="6"/>
      <c r="B291" s="110"/>
      <c r="C291" s="17"/>
      <c r="D291" s="6"/>
      <c r="E291" s="18"/>
      <c r="F291" s="17"/>
      <c r="G291" s="6"/>
      <c r="H291" s="18"/>
      <c r="I291" s="17"/>
      <c r="J291" s="6"/>
      <c r="K291" s="17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>
      <c r="A292" s="6"/>
      <c r="B292" s="110"/>
      <c r="C292" s="17"/>
      <c r="D292" s="6"/>
      <c r="E292" s="18"/>
      <c r="F292" s="17"/>
      <c r="G292" s="6"/>
      <c r="H292" s="18"/>
      <c r="I292" s="17"/>
      <c r="J292" s="6"/>
      <c r="K292" s="17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>
      <c r="A293" s="6"/>
      <c r="B293" s="110"/>
      <c r="C293" s="17"/>
      <c r="D293" s="6"/>
      <c r="E293" s="18"/>
      <c r="F293" s="17"/>
      <c r="G293" s="6"/>
      <c r="H293" s="18"/>
      <c r="I293" s="17"/>
      <c r="J293" s="6"/>
      <c r="K293" s="17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>
      <c r="A294" s="6"/>
      <c r="B294" s="110"/>
      <c r="C294" s="17"/>
      <c r="D294" s="6"/>
      <c r="E294" s="18"/>
      <c r="F294" s="17"/>
      <c r="G294" s="6"/>
      <c r="H294" s="18"/>
      <c r="I294" s="17"/>
      <c r="J294" s="6"/>
      <c r="K294" s="17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>
      <c r="A295" s="6"/>
      <c r="B295" s="110"/>
      <c r="C295" s="17"/>
      <c r="D295" s="6"/>
      <c r="E295" s="18"/>
      <c r="F295" s="17"/>
      <c r="G295" s="6"/>
      <c r="H295" s="18"/>
      <c r="I295" s="17"/>
      <c r="J295" s="6"/>
      <c r="K295" s="17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>
      <c r="A296" s="6"/>
      <c r="B296" s="110"/>
      <c r="C296" s="17"/>
      <c r="D296" s="6"/>
      <c r="E296" s="18"/>
      <c r="F296" s="17"/>
      <c r="G296" s="6"/>
      <c r="H296" s="18"/>
      <c r="I296" s="17"/>
      <c r="J296" s="6"/>
      <c r="K296" s="17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>
      <c r="A297" s="6"/>
      <c r="B297" s="110"/>
      <c r="C297" s="17"/>
      <c r="D297" s="6"/>
      <c r="E297" s="18"/>
      <c r="F297" s="17"/>
      <c r="G297" s="6"/>
      <c r="H297" s="18"/>
      <c r="I297" s="17"/>
      <c r="J297" s="6"/>
      <c r="K297" s="17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>
      <c r="A298" s="6"/>
      <c r="B298" s="110"/>
      <c r="C298" s="17"/>
      <c r="D298" s="6"/>
      <c r="E298" s="18"/>
      <c r="F298" s="17"/>
      <c r="G298" s="6"/>
      <c r="H298" s="18"/>
      <c r="I298" s="17"/>
      <c r="J298" s="6"/>
      <c r="K298" s="17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>
      <c r="A299" s="6"/>
      <c r="B299" s="110"/>
      <c r="C299" s="17"/>
      <c r="D299" s="6"/>
      <c r="E299" s="18"/>
      <c r="F299" s="17"/>
      <c r="G299" s="6"/>
      <c r="H299" s="18"/>
      <c r="I299" s="17"/>
      <c r="J299" s="6"/>
      <c r="K299" s="17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>
      <c r="A300" s="6"/>
      <c r="B300" s="110"/>
      <c r="C300" s="17"/>
      <c r="D300" s="6"/>
      <c r="E300" s="18"/>
      <c r="F300" s="17"/>
      <c r="G300" s="6"/>
      <c r="H300" s="18"/>
      <c r="I300" s="17"/>
      <c r="J300" s="6"/>
      <c r="K300" s="17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>
      <c r="A301" s="6"/>
      <c r="B301" s="110"/>
      <c r="C301" s="17"/>
      <c r="D301" s="6"/>
      <c r="E301" s="18"/>
      <c r="F301" s="17"/>
      <c r="G301" s="6"/>
      <c r="H301" s="18"/>
      <c r="I301" s="17"/>
      <c r="J301" s="6"/>
      <c r="K301" s="17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>
      <c r="A302" s="6"/>
      <c r="B302" s="110"/>
      <c r="C302" s="17"/>
      <c r="D302" s="6"/>
      <c r="E302" s="18"/>
      <c r="F302" s="17"/>
      <c r="G302" s="6"/>
      <c r="H302" s="18"/>
      <c r="I302" s="17"/>
      <c r="J302" s="6"/>
      <c r="K302" s="17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>
      <c r="A303" s="6"/>
      <c r="B303" s="110"/>
      <c r="C303" s="17"/>
      <c r="D303" s="6"/>
      <c r="E303" s="18"/>
      <c r="F303" s="17"/>
      <c r="G303" s="6"/>
      <c r="H303" s="18"/>
      <c r="I303" s="17"/>
      <c r="J303" s="6"/>
      <c r="K303" s="17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>
      <c r="A304" s="6"/>
      <c r="B304" s="110"/>
      <c r="C304" s="17"/>
      <c r="D304" s="6"/>
      <c r="E304" s="18"/>
      <c r="F304" s="17"/>
      <c r="G304" s="6"/>
      <c r="H304" s="18"/>
      <c r="I304" s="17"/>
      <c r="J304" s="6"/>
      <c r="K304" s="17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>
      <c r="A305" s="6"/>
      <c r="B305" s="110"/>
      <c r="C305" s="17"/>
      <c r="D305" s="6"/>
      <c r="E305" s="18"/>
      <c r="F305" s="17"/>
      <c r="G305" s="6"/>
      <c r="H305" s="18"/>
      <c r="I305" s="17"/>
      <c r="J305" s="6"/>
      <c r="K305" s="17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>
      <c r="A306" s="6"/>
      <c r="B306" s="110"/>
      <c r="C306" s="17"/>
      <c r="D306" s="6"/>
      <c r="E306" s="18"/>
      <c r="F306" s="17"/>
      <c r="G306" s="6"/>
      <c r="H306" s="18"/>
      <c r="I306" s="17"/>
      <c r="J306" s="6"/>
      <c r="K306" s="17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>
      <c r="A307" s="6"/>
      <c r="B307" s="110"/>
      <c r="C307" s="17"/>
      <c r="D307" s="6"/>
      <c r="E307" s="18"/>
      <c r="F307" s="17"/>
      <c r="G307" s="6"/>
      <c r="H307" s="18"/>
      <c r="I307" s="17"/>
      <c r="J307" s="6"/>
      <c r="K307" s="17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>
      <c r="A308" s="6"/>
      <c r="B308" s="110"/>
      <c r="C308" s="17"/>
      <c r="D308" s="6"/>
      <c r="E308" s="18"/>
      <c r="F308" s="17"/>
      <c r="G308" s="6"/>
      <c r="H308" s="18"/>
      <c r="I308" s="17"/>
      <c r="J308" s="6"/>
      <c r="K308" s="17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>
      <c r="A309" s="6"/>
      <c r="B309" s="110"/>
      <c r="C309" s="17"/>
      <c r="D309" s="6"/>
      <c r="E309" s="18"/>
      <c r="F309" s="17"/>
      <c r="G309" s="6"/>
      <c r="H309" s="18"/>
      <c r="I309" s="17"/>
      <c r="J309" s="6"/>
      <c r="K309" s="17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>
      <c r="A310" s="6"/>
      <c r="B310" s="110"/>
      <c r="C310" s="17"/>
      <c r="D310" s="6"/>
      <c r="E310" s="18"/>
      <c r="F310" s="17"/>
      <c r="G310" s="6"/>
      <c r="H310" s="18"/>
      <c r="I310" s="17"/>
      <c r="J310" s="6"/>
      <c r="K310" s="17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>
      <c r="A311" s="6"/>
      <c r="B311" s="110"/>
      <c r="C311" s="17"/>
      <c r="D311" s="6"/>
      <c r="E311" s="18"/>
      <c r="F311" s="17"/>
      <c r="G311" s="6"/>
      <c r="H311" s="18"/>
      <c r="I311" s="17"/>
      <c r="J311" s="6"/>
      <c r="K311" s="17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>
      <c r="A312" s="6"/>
      <c r="B312" s="110"/>
      <c r="C312" s="17"/>
      <c r="D312" s="6"/>
      <c r="E312" s="18"/>
      <c r="F312" s="17"/>
      <c r="G312" s="6"/>
      <c r="H312" s="18"/>
      <c r="I312" s="17"/>
      <c r="J312" s="6"/>
      <c r="K312" s="17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>
      <c r="A313" s="6"/>
      <c r="B313" s="110"/>
      <c r="C313" s="17"/>
      <c r="D313" s="6"/>
      <c r="E313" s="18"/>
      <c r="F313" s="17"/>
      <c r="G313" s="6"/>
      <c r="H313" s="18"/>
      <c r="I313" s="17"/>
      <c r="J313" s="6"/>
      <c r="K313" s="17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>
      <c r="A314" s="6"/>
      <c r="B314" s="110"/>
      <c r="C314" s="17"/>
      <c r="D314" s="6"/>
      <c r="E314" s="18"/>
      <c r="F314" s="17"/>
      <c r="G314" s="6"/>
      <c r="H314" s="18"/>
      <c r="I314" s="17"/>
      <c r="J314" s="6"/>
      <c r="K314" s="17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>
      <c r="A315" s="6"/>
      <c r="B315" s="110"/>
      <c r="C315" s="17"/>
      <c r="D315" s="6"/>
      <c r="E315" s="18"/>
      <c r="F315" s="17"/>
      <c r="G315" s="6"/>
      <c r="H315" s="18"/>
      <c r="I315" s="17"/>
      <c r="J315" s="6"/>
      <c r="K315" s="17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>
      <c r="A316" s="6"/>
      <c r="B316" s="110"/>
      <c r="C316" s="17"/>
      <c r="D316" s="6"/>
      <c r="E316" s="18"/>
      <c r="F316" s="17"/>
      <c r="G316" s="6"/>
      <c r="H316" s="18"/>
      <c r="I316" s="17"/>
      <c r="J316" s="6"/>
      <c r="K316" s="17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>
      <c r="A317" s="6"/>
      <c r="B317" s="110"/>
      <c r="C317" s="17"/>
      <c r="D317" s="6"/>
      <c r="E317" s="18"/>
      <c r="F317" s="17"/>
      <c r="G317" s="6"/>
      <c r="H317" s="18"/>
      <c r="I317" s="17"/>
      <c r="J317" s="6"/>
      <c r="K317" s="17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>
      <c r="A318" s="6"/>
      <c r="B318" s="110"/>
      <c r="C318" s="17"/>
      <c r="D318" s="6"/>
      <c r="E318" s="18"/>
      <c r="F318" s="17"/>
      <c r="G318" s="6"/>
      <c r="H318" s="18"/>
      <c r="I318" s="17"/>
      <c r="J318" s="6"/>
      <c r="K318" s="17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>
      <c r="A319" s="6"/>
      <c r="B319" s="110"/>
      <c r="C319" s="17"/>
      <c r="D319" s="6"/>
      <c r="E319" s="18"/>
      <c r="F319" s="17"/>
      <c r="G319" s="6"/>
      <c r="H319" s="18"/>
      <c r="I319" s="17"/>
      <c r="J319" s="6"/>
      <c r="K319" s="17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>
      <c r="A320" s="6"/>
      <c r="B320" s="110"/>
      <c r="C320" s="17"/>
      <c r="D320" s="6"/>
      <c r="E320" s="18"/>
      <c r="F320" s="17"/>
      <c r="G320" s="6"/>
      <c r="H320" s="18"/>
      <c r="I320" s="17"/>
      <c r="J320" s="6"/>
      <c r="K320" s="17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>
      <c r="A321" s="6"/>
      <c r="B321" s="110"/>
      <c r="C321" s="17"/>
      <c r="D321" s="6"/>
      <c r="E321" s="18"/>
      <c r="F321" s="17"/>
      <c r="G321" s="6"/>
      <c r="H321" s="18"/>
      <c r="I321" s="17"/>
      <c r="J321" s="6"/>
      <c r="K321" s="17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>
      <c r="A322" s="6"/>
      <c r="B322" s="110"/>
      <c r="C322" s="17"/>
      <c r="D322" s="6"/>
      <c r="E322" s="18"/>
      <c r="F322" s="17"/>
      <c r="G322" s="6"/>
      <c r="H322" s="18"/>
      <c r="I322" s="17"/>
      <c r="J322" s="6"/>
      <c r="K322" s="17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>
      <c r="A323" s="6"/>
      <c r="B323" s="110"/>
      <c r="C323" s="17"/>
      <c r="D323" s="6"/>
      <c r="E323" s="18"/>
      <c r="F323" s="17"/>
      <c r="G323" s="6"/>
      <c r="H323" s="18"/>
      <c r="I323" s="17"/>
      <c r="J323" s="6"/>
      <c r="K323" s="17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>
      <c r="A324" s="6"/>
      <c r="B324" s="110"/>
      <c r="C324" s="17"/>
      <c r="D324" s="6"/>
      <c r="E324" s="18"/>
      <c r="F324" s="17"/>
      <c r="G324" s="6"/>
      <c r="H324" s="18"/>
      <c r="I324" s="17"/>
      <c r="J324" s="6"/>
      <c r="K324" s="17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>
      <c r="A325" s="6"/>
      <c r="B325" s="110"/>
      <c r="C325" s="17"/>
      <c r="D325" s="6"/>
      <c r="E325" s="18"/>
      <c r="F325" s="17"/>
      <c r="G325" s="6"/>
      <c r="H325" s="18"/>
      <c r="I325" s="17"/>
      <c r="J325" s="6"/>
      <c r="K325" s="17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>
      <c r="A326" s="6"/>
      <c r="B326" s="110"/>
      <c r="C326" s="17"/>
      <c r="D326" s="6"/>
      <c r="E326" s="18"/>
      <c r="F326" s="17"/>
      <c r="G326" s="6"/>
      <c r="H326" s="18"/>
      <c r="I326" s="17"/>
      <c r="J326" s="6"/>
      <c r="K326" s="17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>
      <c r="A327" s="6"/>
      <c r="B327" s="110"/>
      <c r="C327" s="17"/>
      <c r="D327" s="6"/>
      <c r="E327" s="18"/>
      <c r="F327" s="17"/>
      <c r="G327" s="6"/>
      <c r="H327" s="18"/>
      <c r="I327" s="17"/>
      <c r="J327" s="6"/>
      <c r="K327" s="17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>
      <c r="A328" s="6"/>
      <c r="B328" s="110"/>
      <c r="C328" s="17"/>
      <c r="D328" s="6"/>
      <c r="E328" s="18"/>
      <c r="F328" s="17"/>
      <c r="G328" s="6"/>
      <c r="H328" s="18"/>
      <c r="I328" s="17"/>
      <c r="J328" s="6"/>
      <c r="K328" s="17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>
      <c r="A329" s="6"/>
      <c r="B329" s="110"/>
      <c r="C329" s="17"/>
      <c r="D329" s="6"/>
      <c r="E329" s="18"/>
      <c r="F329" s="17"/>
      <c r="G329" s="6"/>
      <c r="H329" s="18"/>
      <c r="I329" s="17"/>
      <c r="J329" s="6"/>
      <c r="K329" s="17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>
      <c r="A330" s="6"/>
      <c r="B330" s="110"/>
      <c r="C330" s="17"/>
      <c r="D330" s="6"/>
      <c r="E330" s="18"/>
      <c r="F330" s="17"/>
      <c r="G330" s="6"/>
      <c r="H330" s="18"/>
      <c r="I330" s="17"/>
      <c r="J330" s="6"/>
      <c r="K330" s="17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>
      <c r="A331" s="6"/>
      <c r="B331" s="110"/>
      <c r="C331" s="17"/>
      <c r="D331" s="6"/>
      <c r="E331" s="18"/>
      <c r="F331" s="17"/>
      <c r="G331" s="6"/>
      <c r="H331" s="18"/>
      <c r="I331" s="17"/>
      <c r="J331" s="6"/>
      <c r="K331" s="17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>
      <c r="A332" s="6"/>
      <c r="B332" s="110"/>
      <c r="C332" s="17"/>
      <c r="D332" s="6"/>
      <c r="E332" s="18"/>
      <c r="F332" s="17"/>
      <c r="G332" s="6"/>
      <c r="H332" s="18"/>
      <c r="I332" s="17"/>
      <c r="J332" s="6"/>
      <c r="K332" s="17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>
      <c r="A333" s="6"/>
      <c r="B333" s="110"/>
      <c r="C333" s="17"/>
      <c r="D333" s="6"/>
      <c r="E333" s="18"/>
      <c r="F333" s="17"/>
      <c r="G333" s="6"/>
      <c r="H333" s="18"/>
      <c r="I333" s="17"/>
      <c r="J333" s="6"/>
      <c r="K333" s="17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>
      <c r="A334" s="6"/>
      <c r="B334" s="110"/>
      <c r="C334" s="17"/>
      <c r="D334" s="6"/>
      <c r="E334" s="18"/>
      <c r="F334" s="17"/>
      <c r="G334" s="6"/>
      <c r="H334" s="18"/>
      <c r="I334" s="17"/>
      <c r="J334" s="6"/>
      <c r="K334" s="17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>
      <c r="A335" s="6"/>
      <c r="B335" s="110"/>
      <c r="C335" s="17"/>
      <c r="D335" s="6"/>
      <c r="E335" s="18"/>
      <c r="F335" s="17"/>
      <c r="G335" s="6"/>
      <c r="H335" s="18"/>
      <c r="I335" s="17"/>
      <c r="J335" s="6"/>
      <c r="K335" s="17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>
      <c r="A336" s="6"/>
      <c r="B336" s="110"/>
      <c r="C336" s="17"/>
      <c r="D336" s="6"/>
      <c r="E336" s="18"/>
      <c r="F336" s="17"/>
      <c r="G336" s="6"/>
      <c r="H336" s="18"/>
      <c r="I336" s="17"/>
      <c r="J336" s="6"/>
      <c r="K336" s="17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>
      <c r="A337" s="6"/>
      <c r="B337" s="110"/>
      <c r="C337" s="17"/>
      <c r="D337" s="6"/>
      <c r="E337" s="18"/>
      <c r="F337" s="17"/>
      <c r="G337" s="6"/>
      <c r="H337" s="18"/>
      <c r="I337" s="17"/>
      <c r="J337" s="6"/>
      <c r="K337" s="17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>
      <c r="A338" s="6"/>
      <c r="B338" s="110"/>
      <c r="C338" s="17"/>
      <c r="D338" s="6"/>
      <c r="E338" s="18"/>
      <c r="F338" s="17"/>
      <c r="G338" s="6"/>
      <c r="H338" s="18"/>
      <c r="I338" s="17"/>
      <c r="J338" s="6"/>
      <c r="K338" s="17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>
      <c r="A339" s="6"/>
      <c r="B339" s="110"/>
      <c r="C339" s="17"/>
      <c r="D339" s="6"/>
      <c r="E339" s="18"/>
      <c r="F339" s="17"/>
      <c r="G339" s="6"/>
      <c r="H339" s="18"/>
      <c r="I339" s="17"/>
      <c r="J339" s="6"/>
      <c r="K339" s="17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>
      <c r="A340" s="6"/>
      <c r="B340" s="110"/>
      <c r="C340" s="17"/>
      <c r="D340" s="6"/>
      <c r="E340" s="18"/>
      <c r="F340" s="17"/>
      <c r="G340" s="6"/>
      <c r="H340" s="18"/>
      <c r="I340" s="17"/>
      <c r="J340" s="6"/>
      <c r="K340" s="17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>
      <c r="A341" s="6"/>
      <c r="B341" s="110"/>
      <c r="C341" s="17"/>
      <c r="D341" s="6"/>
      <c r="E341" s="18"/>
      <c r="F341" s="17"/>
      <c r="G341" s="6"/>
      <c r="H341" s="18"/>
      <c r="I341" s="17"/>
      <c r="J341" s="6"/>
      <c r="K341" s="17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>
      <c r="A342" s="6"/>
      <c r="B342" s="110"/>
      <c r="C342" s="17"/>
      <c r="D342" s="6"/>
      <c r="E342" s="18"/>
      <c r="F342" s="17"/>
      <c r="G342" s="6"/>
      <c r="H342" s="18"/>
      <c r="I342" s="17"/>
      <c r="J342" s="6"/>
      <c r="K342" s="17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>
      <c r="A343" s="6"/>
      <c r="B343" s="110"/>
      <c r="C343" s="17"/>
      <c r="D343" s="6"/>
      <c r="E343" s="18"/>
      <c r="F343" s="17"/>
      <c r="G343" s="6"/>
      <c r="H343" s="18"/>
      <c r="I343" s="17"/>
      <c r="J343" s="6"/>
      <c r="K343" s="17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>
      <c r="A344" s="6"/>
      <c r="B344" s="110"/>
      <c r="C344" s="17"/>
      <c r="D344" s="6"/>
      <c r="E344" s="18"/>
      <c r="F344" s="17"/>
      <c r="G344" s="6"/>
      <c r="H344" s="18"/>
      <c r="I344" s="17"/>
      <c r="J344" s="6"/>
      <c r="K344" s="17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>
      <c r="A345" s="6"/>
      <c r="B345" s="110"/>
      <c r="C345" s="17"/>
      <c r="D345" s="6"/>
      <c r="E345" s="18"/>
      <c r="F345" s="17"/>
      <c r="G345" s="6"/>
      <c r="H345" s="18"/>
      <c r="I345" s="17"/>
      <c r="J345" s="6"/>
      <c r="K345" s="17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>
      <c r="A346" s="6"/>
      <c r="B346" s="110"/>
      <c r="C346" s="17"/>
      <c r="D346" s="6"/>
      <c r="E346" s="18"/>
      <c r="F346" s="17"/>
      <c r="G346" s="6"/>
      <c r="H346" s="18"/>
      <c r="I346" s="17"/>
      <c r="J346" s="6"/>
      <c r="K346" s="17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>
      <c r="A347" s="6"/>
      <c r="B347" s="110"/>
      <c r="C347" s="17"/>
      <c r="D347" s="6"/>
      <c r="E347" s="18"/>
      <c r="F347" s="17"/>
      <c r="G347" s="6"/>
      <c r="H347" s="18"/>
      <c r="I347" s="17"/>
      <c r="J347" s="6"/>
      <c r="K347" s="17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>
      <c r="A348" s="6"/>
      <c r="B348" s="110"/>
      <c r="C348" s="17"/>
      <c r="D348" s="6"/>
      <c r="E348" s="18"/>
      <c r="F348" s="17"/>
      <c r="G348" s="6"/>
      <c r="H348" s="18"/>
      <c r="I348" s="17"/>
      <c r="J348" s="6"/>
      <c r="K348" s="17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>
      <c r="A349" s="6"/>
      <c r="B349" s="110"/>
      <c r="C349" s="17"/>
      <c r="D349" s="6"/>
      <c r="E349" s="18"/>
      <c r="F349" s="17"/>
      <c r="G349" s="6"/>
      <c r="H349" s="18"/>
      <c r="I349" s="17"/>
      <c r="J349" s="6"/>
      <c r="K349" s="17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>
      <c r="A350" s="6"/>
      <c r="B350" s="110"/>
      <c r="C350" s="17"/>
      <c r="D350" s="6"/>
      <c r="E350" s="18"/>
      <c r="F350" s="17"/>
      <c r="G350" s="6"/>
      <c r="H350" s="18"/>
      <c r="I350" s="17"/>
      <c r="J350" s="6"/>
      <c r="K350" s="17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>
      <c r="A351" s="6"/>
      <c r="B351" s="110"/>
      <c r="C351" s="17"/>
      <c r="D351" s="6"/>
      <c r="E351" s="18"/>
      <c r="F351" s="17"/>
      <c r="G351" s="6"/>
      <c r="H351" s="18"/>
      <c r="I351" s="17"/>
      <c r="J351" s="6"/>
      <c r="K351" s="17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>
      <c r="A352" s="6"/>
      <c r="B352" s="110"/>
      <c r="C352" s="17"/>
      <c r="D352" s="6"/>
      <c r="E352" s="18"/>
      <c r="F352" s="17"/>
      <c r="G352" s="6"/>
      <c r="H352" s="18"/>
      <c r="I352" s="17"/>
      <c r="J352" s="6"/>
      <c r="K352" s="17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>
      <c r="A353" s="6"/>
      <c r="B353" s="110"/>
      <c r="C353" s="17"/>
      <c r="D353" s="6"/>
      <c r="E353" s="18"/>
      <c r="F353" s="17"/>
      <c r="G353" s="6"/>
      <c r="H353" s="18"/>
      <c r="I353" s="17"/>
      <c r="J353" s="6"/>
      <c r="K353" s="17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>
      <c r="A354" s="6"/>
      <c r="B354" s="110"/>
      <c r="C354" s="17"/>
      <c r="D354" s="6"/>
      <c r="E354" s="18"/>
      <c r="F354" s="17"/>
      <c r="G354" s="6"/>
      <c r="H354" s="18"/>
      <c r="I354" s="17"/>
      <c r="J354" s="6"/>
      <c r="K354" s="17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>
      <c r="A355" s="6"/>
      <c r="B355" s="110"/>
      <c r="C355" s="17"/>
      <c r="D355" s="6"/>
      <c r="E355" s="18"/>
      <c r="F355" s="17"/>
      <c r="G355" s="6"/>
      <c r="H355" s="18"/>
      <c r="I355" s="17"/>
      <c r="J355" s="6"/>
      <c r="K355" s="17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>
      <c r="A356" s="6"/>
      <c r="B356" s="110"/>
      <c r="C356" s="17"/>
      <c r="D356" s="6"/>
      <c r="E356" s="18"/>
      <c r="F356" s="17"/>
      <c r="G356" s="6"/>
      <c r="H356" s="18"/>
      <c r="I356" s="17"/>
      <c r="J356" s="6"/>
      <c r="K356" s="17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>
      <c r="A357" s="6"/>
      <c r="B357" s="110"/>
      <c r="C357" s="17"/>
      <c r="D357" s="6"/>
      <c r="E357" s="18"/>
      <c r="F357" s="17"/>
      <c r="G357" s="6"/>
      <c r="H357" s="18"/>
      <c r="I357" s="17"/>
      <c r="J357" s="6"/>
      <c r="K357" s="17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>
      <c r="A358" s="6"/>
      <c r="B358" s="110"/>
      <c r="C358" s="17"/>
      <c r="D358" s="6"/>
      <c r="E358" s="18"/>
      <c r="F358" s="17"/>
      <c r="G358" s="6"/>
      <c r="H358" s="18"/>
      <c r="I358" s="17"/>
      <c r="J358" s="6"/>
      <c r="K358" s="17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>
      <c r="A359" s="6"/>
      <c r="B359" s="110"/>
      <c r="C359" s="17"/>
      <c r="D359" s="6"/>
      <c r="E359" s="18"/>
      <c r="F359" s="17"/>
      <c r="G359" s="6"/>
      <c r="H359" s="18"/>
      <c r="I359" s="17"/>
      <c r="J359" s="6"/>
      <c r="K359" s="17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>
      <c r="A360" s="6"/>
      <c r="B360" s="110"/>
      <c r="C360" s="17"/>
      <c r="D360" s="6"/>
      <c r="E360" s="18"/>
      <c r="F360" s="17"/>
      <c r="G360" s="6"/>
      <c r="H360" s="18"/>
      <c r="I360" s="17"/>
      <c r="J360" s="6"/>
      <c r="K360" s="17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>
      <c r="A361" s="6"/>
      <c r="B361" s="110"/>
      <c r="C361" s="17"/>
      <c r="D361" s="6"/>
      <c r="E361" s="18"/>
      <c r="F361" s="17"/>
      <c r="G361" s="6"/>
      <c r="H361" s="18"/>
      <c r="I361" s="17"/>
      <c r="J361" s="6"/>
      <c r="K361" s="17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>
      <c r="A362" s="6"/>
      <c r="B362" s="110"/>
      <c r="C362" s="17"/>
      <c r="D362" s="6"/>
      <c r="E362" s="18"/>
      <c r="F362" s="17"/>
      <c r="G362" s="6"/>
      <c r="H362" s="18"/>
      <c r="I362" s="17"/>
      <c r="J362" s="6"/>
      <c r="K362" s="17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>
      <c r="A363" s="6"/>
      <c r="B363" s="110"/>
      <c r="C363" s="17"/>
      <c r="D363" s="6"/>
      <c r="E363" s="18"/>
      <c r="F363" s="17"/>
      <c r="G363" s="6"/>
      <c r="H363" s="18"/>
      <c r="I363" s="17"/>
      <c r="J363" s="6"/>
      <c r="K363" s="17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>
      <c r="A364" s="6"/>
      <c r="B364" s="110"/>
      <c r="C364" s="17"/>
      <c r="D364" s="6"/>
      <c r="E364" s="18"/>
      <c r="F364" s="17"/>
      <c r="G364" s="6"/>
      <c r="H364" s="18"/>
      <c r="I364" s="17"/>
      <c r="J364" s="6"/>
      <c r="K364" s="17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>
      <c r="A365" s="6"/>
      <c r="B365" s="110"/>
      <c r="C365" s="17"/>
      <c r="D365" s="6"/>
      <c r="E365" s="18"/>
      <c r="F365" s="17"/>
      <c r="G365" s="6"/>
      <c r="H365" s="18"/>
      <c r="I365" s="17"/>
      <c r="J365" s="6"/>
      <c r="K365" s="17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>
      <c r="A366" s="6"/>
      <c r="B366" s="110"/>
      <c r="C366" s="17"/>
      <c r="D366" s="6"/>
      <c r="E366" s="18"/>
      <c r="F366" s="17"/>
      <c r="G366" s="6"/>
      <c r="H366" s="18"/>
      <c r="I366" s="17"/>
      <c r="J366" s="6"/>
      <c r="K366" s="17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>
      <c r="A367" s="6"/>
      <c r="B367" s="110"/>
      <c r="C367" s="17"/>
      <c r="D367" s="6"/>
      <c r="E367" s="18"/>
      <c r="F367" s="17"/>
      <c r="G367" s="6"/>
      <c r="H367" s="18"/>
      <c r="I367" s="17"/>
      <c r="J367" s="6"/>
      <c r="K367" s="17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>
      <c r="A368" s="6"/>
      <c r="B368" s="110"/>
      <c r="C368" s="17"/>
      <c r="D368" s="6"/>
      <c r="E368" s="18"/>
      <c r="F368" s="17"/>
      <c r="G368" s="6"/>
      <c r="H368" s="18"/>
      <c r="I368" s="17"/>
      <c r="J368" s="6"/>
      <c r="K368" s="17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>
      <c r="A369" s="6"/>
      <c r="B369" s="110"/>
      <c r="C369" s="17"/>
      <c r="D369" s="6"/>
      <c r="E369" s="18"/>
      <c r="F369" s="17"/>
      <c r="G369" s="6"/>
      <c r="H369" s="18"/>
      <c r="I369" s="17"/>
      <c r="J369" s="6"/>
      <c r="K369" s="17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>
      <c r="A370" s="6"/>
      <c r="B370" s="110"/>
      <c r="C370" s="17"/>
      <c r="D370" s="6"/>
      <c r="E370" s="18"/>
      <c r="F370" s="17"/>
      <c r="G370" s="6"/>
      <c r="H370" s="18"/>
      <c r="I370" s="17"/>
      <c r="J370" s="6"/>
      <c r="K370" s="17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>
      <c r="A371" s="6"/>
      <c r="B371" s="110"/>
      <c r="C371" s="17"/>
      <c r="D371" s="6"/>
      <c r="E371" s="18"/>
      <c r="F371" s="17"/>
      <c r="G371" s="6"/>
      <c r="H371" s="18"/>
      <c r="I371" s="17"/>
      <c r="J371" s="6"/>
      <c r="K371" s="17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>
      <c r="A372" s="6"/>
      <c r="B372" s="110"/>
      <c r="C372" s="17"/>
      <c r="D372" s="6"/>
      <c r="E372" s="18"/>
      <c r="F372" s="17"/>
      <c r="G372" s="6"/>
      <c r="H372" s="18"/>
      <c r="I372" s="17"/>
      <c r="J372" s="6"/>
      <c r="K372" s="17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>
      <c r="A373" s="6"/>
      <c r="B373" s="110"/>
      <c r="C373" s="17"/>
      <c r="D373" s="6"/>
      <c r="E373" s="18"/>
      <c r="F373" s="17"/>
      <c r="G373" s="6"/>
      <c r="H373" s="18"/>
      <c r="I373" s="17"/>
      <c r="J373" s="6"/>
      <c r="K373" s="17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>
      <c r="A374" s="6"/>
      <c r="B374" s="110"/>
      <c r="C374" s="17"/>
      <c r="D374" s="6"/>
      <c r="E374" s="18"/>
      <c r="F374" s="17"/>
      <c r="G374" s="6"/>
      <c r="H374" s="18"/>
      <c r="I374" s="17"/>
      <c r="J374" s="6"/>
      <c r="K374" s="17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>
      <c r="A375" s="6"/>
      <c r="B375" s="110"/>
      <c r="C375" s="17"/>
      <c r="D375" s="6"/>
      <c r="E375" s="18"/>
      <c r="F375" s="17"/>
      <c r="G375" s="6"/>
      <c r="H375" s="18"/>
      <c r="I375" s="17"/>
      <c r="J375" s="6"/>
      <c r="K375" s="17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>
      <c r="A376" s="6"/>
      <c r="B376" s="110"/>
      <c r="C376" s="17"/>
      <c r="D376" s="6"/>
      <c r="E376" s="18"/>
      <c r="F376" s="17"/>
      <c r="G376" s="6"/>
      <c r="H376" s="18"/>
      <c r="I376" s="17"/>
      <c r="J376" s="6"/>
      <c r="K376" s="17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>
      <c r="A377" s="6"/>
      <c r="B377" s="110"/>
      <c r="C377" s="17"/>
      <c r="D377" s="6"/>
      <c r="E377" s="18"/>
      <c r="F377" s="17"/>
      <c r="G377" s="6"/>
      <c r="H377" s="18"/>
      <c r="I377" s="17"/>
      <c r="J377" s="6"/>
      <c r="K377" s="17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>
      <c r="A378" s="6"/>
      <c r="B378" s="110"/>
      <c r="C378" s="17"/>
      <c r="D378" s="6"/>
      <c r="E378" s="18"/>
      <c r="F378" s="17"/>
      <c r="G378" s="6"/>
      <c r="H378" s="18"/>
      <c r="I378" s="17"/>
      <c r="J378" s="6"/>
      <c r="K378" s="17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>
      <c r="A379" s="6"/>
      <c r="B379" s="110"/>
      <c r="C379" s="17"/>
      <c r="D379" s="6"/>
      <c r="E379" s="18"/>
      <c r="F379" s="17"/>
      <c r="G379" s="6"/>
      <c r="H379" s="18"/>
      <c r="I379" s="17"/>
      <c r="J379" s="6"/>
      <c r="K379" s="17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>
      <c r="A380" s="6"/>
      <c r="B380" s="110"/>
      <c r="C380" s="17"/>
      <c r="D380" s="6"/>
      <c r="E380" s="18"/>
      <c r="F380" s="17"/>
      <c r="G380" s="6"/>
      <c r="H380" s="18"/>
      <c r="I380" s="17"/>
      <c r="J380" s="6"/>
      <c r="K380" s="17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>
      <c r="A381" s="6"/>
      <c r="B381" s="110"/>
      <c r="C381" s="17"/>
      <c r="D381" s="6"/>
      <c r="E381" s="18"/>
      <c r="F381" s="17"/>
      <c r="G381" s="6"/>
      <c r="H381" s="18"/>
      <c r="I381" s="17"/>
      <c r="J381" s="6"/>
      <c r="K381" s="17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>
      <c r="A382" s="6"/>
      <c r="B382" s="110"/>
      <c r="C382" s="17"/>
      <c r="D382" s="6"/>
      <c r="E382" s="18"/>
      <c r="F382" s="17"/>
      <c r="G382" s="6"/>
      <c r="H382" s="18"/>
      <c r="I382" s="17"/>
      <c r="J382" s="6"/>
      <c r="K382" s="17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>
      <c r="A383" s="6"/>
      <c r="B383" s="110"/>
      <c r="C383" s="17"/>
      <c r="D383" s="6"/>
      <c r="E383" s="18"/>
      <c r="F383" s="17"/>
      <c r="G383" s="6"/>
      <c r="H383" s="18"/>
      <c r="I383" s="17"/>
      <c r="J383" s="6"/>
      <c r="K383" s="17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>
      <c r="A384" s="6"/>
      <c r="B384" s="110"/>
      <c r="C384" s="17"/>
      <c r="D384" s="6"/>
      <c r="E384" s="18"/>
      <c r="F384" s="17"/>
      <c r="G384" s="6"/>
      <c r="H384" s="18"/>
      <c r="I384" s="17"/>
      <c r="J384" s="6"/>
      <c r="K384" s="17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>
      <c r="A385" s="6"/>
      <c r="B385" s="110"/>
      <c r="C385" s="17"/>
      <c r="D385" s="6"/>
      <c r="E385" s="18"/>
      <c r="F385" s="17"/>
      <c r="G385" s="6"/>
      <c r="H385" s="18"/>
      <c r="I385" s="17"/>
      <c r="J385" s="6"/>
      <c r="K385" s="17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>
      <c r="A386" s="6"/>
      <c r="B386" s="110"/>
      <c r="C386" s="17"/>
      <c r="D386" s="6"/>
      <c r="E386" s="18"/>
      <c r="F386" s="17"/>
      <c r="G386" s="6"/>
      <c r="H386" s="18"/>
      <c r="I386" s="17"/>
      <c r="J386" s="6"/>
      <c r="K386" s="17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>
      <c r="A387" s="6"/>
      <c r="B387" s="110"/>
      <c r="C387" s="17"/>
      <c r="D387" s="6"/>
      <c r="E387" s="18"/>
      <c r="F387" s="17"/>
      <c r="G387" s="6"/>
      <c r="H387" s="18"/>
      <c r="I387" s="17"/>
      <c r="J387" s="6"/>
      <c r="K387" s="17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>
      <c r="A388" s="6"/>
      <c r="B388" s="110"/>
      <c r="C388" s="17"/>
      <c r="D388" s="6"/>
      <c r="E388" s="18"/>
      <c r="F388" s="17"/>
      <c r="G388" s="6"/>
      <c r="H388" s="18"/>
      <c r="I388" s="17"/>
      <c r="J388" s="6"/>
      <c r="K388" s="17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>
      <c r="A389" s="6"/>
      <c r="B389" s="110"/>
      <c r="C389" s="17"/>
      <c r="D389" s="6"/>
      <c r="E389" s="18"/>
      <c r="F389" s="17"/>
      <c r="G389" s="6"/>
      <c r="H389" s="18"/>
      <c r="I389" s="17"/>
      <c r="J389" s="6"/>
      <c r="K389" s="17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>
      <c r="A390" s="6"/>
      <c r="B390" s="110"/>
      <c r="C390" s="17"/>
      <c r="D390" s="6"/>
      <c r="E390" s="18"/>
      <c r="F390" s="17"/>
      <c r="G390" s="6"/>
      <c r="H390" s="18"/>
      <c r="I390" s="17"/>
      <c r="J390" s="6"/>
      <c r="K390" s="17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>
      <c r="A391" s="6"/>
      <c r="B391" s="110"/>
      <c r="C391" s="17"/>
      <c r="D391" s="6"/>
      <c r="E391" s="18"/>
      <c r="F391" s="17"/>
      <c r="G391" s="6"/>
      <c r="H391" s="18"/>
      <c r="I391" s="17"/>
      <c r="J391" s="6"/>
      <c r="K391" s="17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>
      <c r="A392" s="6"/>
      <c r="B392" s="110"/>
      <c r="C392" s="17"/>
      <c r="D392" s="6"/>
      <c r="E392" s="18"/>
      <c r="F392" s="17"/>
      <c r="G392" s="6"/>
      <c r="H392" s="18"/>
      <c r="I392" s="17"/>
      <c r="J392" s="6"/>
      <c r="K392" s="17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>
      <c r="A393" s="6"/>
      <c r="B393" s="110"/>
      <c r="C393" s="17"/>
      <c r="D393" s="6"/>
      <c r="E393" s="18"/>
      <c r="F393" s="17"/>
      <c r="G393" s="6"/>
      <c r="H393" s="18"/>
      <c r="I393" s="17"/>
      <c r="J393" s="6"/>
      <c r="K393" s="17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>
      <c r="A394" s="6"/>
      <c r="B394" s="110"/>
      <c r="C394" s="17"/>
      <c r="D394" s="6"/>
      <c r="E394" s="18"/>
      <c r="F394" s="17"/>
      <c r="G394" s="6"/>
      <c r="H394" s="18"/>
      <c r="I394" s="17"/>
      <c r="J394" s="6"/>
      <c r="K394" s="17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>
      <c r="A395" s="6"/>
      <c r="B395" s="110"/>
      <c r="C395" s="17"/>
      <c r="D395" s="6"/>
      <c r="E395" s="18"/>
      <c r="F395" s="17"/>
      <c r="G395" s="6"/>
      <c r="H395" s="18"/>
      <c r="I395" s="17"/>
      <c r="J395" s="6"/>
      <c r="K395" s="17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>
      <c r="A396" s="6"/>
      <c r="B396" s="110"/>
      <c r="C396" s="17"/>
      <c r="D396" s="6"/>
      <c r="E396" s="18"/>
      <c r="F396" s="17"/>
      <c r="G396" s="6"/>
      <c r="H396" s="18"/>
      <c r="I396" s="17"/>
      <c r="J396" s="6"/>
      <c r="K396" s="17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>
      <c r="A397" s="6"/>
      <c r="B397" s="110"/>
      <c r="C397" s="17"/>
      <c r="D397" s="6"/>
      <c r="E397" s="18"/>
      <c r="F397" s="17"/>
      <c r="G397" s="6"/>
      <c r="H397" s="18"/>
      <c r="I397" s="17"/>
      <c r="J397" s="6"/>
      <c r="K397" s="17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>
      <c r="A398" s="6"/>
      <c r="B398" s="110"/>
      <c r="C398" s="17"/>
      <c r="D398" s="6"/>
      <c r="E398" s="18"/>
      <c r="F398" s="17"/>
      <c r="G398" s="6"/>
      <c r="H398" s="18"/>
      <c r="I398" s="17"/>
      <c r="J398" s="6"/>
      <c r="K398" s="17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>
      <c r="A399" s="6"/>
      <c r="B399" s="110"/>
      <c r="C399" s="17"/>
      <c r="D399" s="6"/>
      <c r="E399" s="18"/>
      <c r="F399" s="17"/>
      <c r="G399" s="6"/>
      <c r="H399" s="18"/>
      <c r="I399" s="17"/>
      <c r="J399" s="6"/>
      <c r="K399" s="17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>
      <c r="A400" s="6"/>
      <c r="B400" s="110"/>
      <c r="C400" s="17"/>
      <c r="D400" s="6"/>
      <c r="E400" s="18"/>
      <c r="F400" s="17"/>
      <c r="G400" s="6"/>
      <c r="H400" s="18"/>
      <c r="I400" s="17"/>
      <c r="J400" s="6"/>
      <c r="K400" s="17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>
      <c r="A401" s="6"/>
      <c r="B401" s="110"/>
      <c r="C401" s="17"/>
      <c r="D401" s="6"/>
      <c r="E401" s="18"/>
      <c r="F401" s="17"/>
      <c r="G401" s="6"/>
      <c r="H401" s="18"/>
      <c r="I401" s="17"/>
      <c r="J401" s="6"/>
      <c r="K401" s="17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>
      <c r="A402" s="6"/>
      <c r="B402" s="110"/>
      <c r="C402" s="17"/>
      <c r="D402" s="6"/>
      <c r="E402" s="18"/>
      <c r="F402" s="17"/>
      <c r="G402" s="6"/>
      <c r="H402" s="18"/>
      <c r="I402" s="17"/>
      <c r="J402" s="6"/>
      <c r="K402" s="17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>
      <c r="A403" s="6"/>
      <c r="B403" s="110"/>
      <c r="C403" s="17"/>
      <c r="D403" s="6"/>
      <c r="E403" s="18"/>
      <c r="F403" s="17"/>
      <c r="G403" s="6"/>
      <c r="H403" s="18"/>
      <c r="I403" s="17"/>
      <c r="J403" s="6"/>
      <c r="K403" s="17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>
      <c r="A404" s="6"/>
      <c r="B404" s="110"/>
      <c r="C404" s="17"/>
      <c r="D404" s="6"/>
      <c r="E404" s="18"/>
      <c r="F404" s="17"/>
      <c r="G404" s="6"/>
      <c r="H404" s="18"/>
      <c r="I404" s="17"/>
      <c r="J404" s="6"/>
      <c r="K404" s="17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>
      <c r="A405" s="6"/>
      <c r="B405" s="110"/>
      <c r="C405" s="17"/>
      <c r="D405" s="6"/>
      <c r="E405" s="18"/>
      <c r="F405" s="17"/>
      <c r="G405" s="6"/>
      <c r="H405" s="18"/>
      <c r="I405" s="17"/>
      <c r="J405" s="6"/>
      <c r="K405" s="17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>
      <c r="A406" s="6"/>
      <c r="B406" s="110"/>
      <c r="C406" s="17"/>
      <c r="D406" s="6"/>
      <c r="E406" s="18"/>
      <c r="F406" s="17"/>
      <c r="G406" s="6"/>
      <c r="H406" s="18"/>
      <c r="I406" s="17"/>
      <c r="J406" s="6"/>
      <c r="K406" s="17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>
      <c r="A407" s="6"/>
      <c r="B407" s="110"/>
      <c r="C407" s="17"/>
      <c r="D407" s="6"/>
      <c r="E407" s="18"/>
      <c r="F407" s="17"/>
      <c r="G407" s="6"/>
      <c r="H407" s="18"/>
      <c r="I407" s="17"/>
      <c r="J407" s="6"/>
      <c r="K407" s="17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>
      <c r="A408" s="6"/>
      <c r="B408" s="110"/>
      <c r="C408" s="17"/>
      <c r="D408" s="6"/>
      <c r="E408" s="18"/>
      <c r="F408" s="17"/>
      <c r="G408" s="6"/>
      <c r="H408" s="18"/>
      <c r="I408" s="17"/>
      <c r="J408" s="6"/>
      <c r="K408" s="17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>
      <c r="A409" s="6"/>
      <c r="B409" s="110"/>
      <c r="C409" s="17"/>
      <c r="D409" s="6"/>
      <c r="E409" s="18"/>
      <c r="F409" s="17"/>
      <c r="G409" s="6"/>
      <c r="H409" s="18"/>
      <c r="I409" s="17"/>
      <c r="J409" s="6"/>
      <c r="K409" s="17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>
      <c r="A410" s="6"/>
      <c r="B410" s="110"/>
      <c r="C410" s="17"/>
      <c r="D410" s="6"/>
      <c r="E410" s="18"/>
      <c r="F410" s="17"/>
      <c r="G410" s="6"/>
      <c r="H410" s="18"/>
      <c r="I410" s="17"/>
      <c r="J410" s="6"/>
      <c r="K410" s="17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>
      <c r="A411" s="6"/>
      <c r="B411" s="110"/>
      <c r="C411" s="17"/>
      <c r="D411" s="6"/>
      <c r="E411" s="18"/>
      <c r="F411" s="17"/>
      <c r="G411" s="6"/>
      <c r="H411" s="18"/>
      <c r="I411" s="17"/>
      <c r="J411" s="6"/>
      <c r="K411" s="17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>
      <c r="A412" s="6"/>
      <c r="B412" s="110"/>
      <c r="C412" s="17"/>
      <c r="D412" s="6"/>
      <c r="E412" s="18"/>
      <c r="F412" s="17"/>
      <c r="G412" s="6"/>
      <c r="H412" s="18"/>
      <c r="I412" s="17"/>
      <c r="J412" s="6"/>
      <c r="K412" s="17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>
      <c r="A413" s="6"/>
      <c r="B413" s="110"/>
      <c r="C413" s="17"/>
      <c r="D413" s="6"/>
      <c r="E413" s="18"/>
      <c r="F413" s="17"/>
      <c r="G413" s="6"/>
      <c r="H413" s="18"/>
      <c r="I413" s="17"/>
      <c r="J413" s="6"/>
      <c r="K413" s="17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>
      <c r="A414" s="6"/>
      <c r="B414" s="110"/>
      <c r="C414" s="17"/>
      <c r="D414" s="6"/>
      <c r="E414" s="18"/>
      <c r="F414" s="17"/>
      <c r="G414" s="6"/>
      <c r="H414" s="18"/>
      <c r="I414" s="17"/>
      <c r="J414" s="6"/>
      <c r="K414" s="17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>
      <c r="A415" s="6"/>
      <c r="B415" s="110"/>
      <c r="C415" s="17"/>
      <c r="D415" s="6"/>
      <c r="E415" s="18"/>
      <c r="F415" s="17"/>
      <c r="G415" s="6"/>
      <c r="H415" s="18"/>
      <c r="I415" s="17"/>
      <c r="J415" s="6"/>
      <c r="K415" s="17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>
      <c r="A416" s="6"/>
      <c r="B416" s="110"/>
      <c r="C416" s="17"/>
      <c r="D416" s="6"/>
      <c r="E416" s="18"/>
      <c r="F416" s="17"/>
      <c r="G416" s="6"/>
      <c r="H416" s="18"/>
      <c r="I416" s="17"/>
      <c r="J416" s="6"/>
      <c r="K416" s="17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>
      <c r="A417" s="6"/>
      <c r="B417" s="110"/>
      <c r="C417" s="17"/>
      <c r="D417" s="6"/>
      <c r="E417" s="18"/>
      <c r="F417" s="17"/>
      <c r="G417" s="6"/>
      <c r="H417" s="18"/>
      <c r="I417" s="17"/>
      <c r="J417" s="6"/>
      <c r="K417" s="17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>
      <c r="A418" s="6"/>
      <c r="B418" s="110"/>
      <c r="C418" s="17"/>
      <c r="D418" s="6"/>
      <c r="E418" s="18"/>
      <c r="F418" s="17"/>
      <c r="G418" s="6"/>
      <c r="H418" s="18"/>
      <c r="I418" s="17"/>
      <c r="J418" s="6"/>
      <c r="K418" s="17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>
      <c r="A419" s="6"/>
      <c r="B419" s="110"/>
      <c r="C419" s="17"/>
      <c r="D419" s="6"/>
      <c r="E419" s="18"/>
      <c r="F419" s="17"/>
      <c r="G419" s="6"/>
      <c r="H419" s="18"/>
      <c r="I419" s="17"/>
      <c r="J419" s="6"/>
      <c r="K419" s="17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>
      <c r="A420" s="6"/>
      <c r="B420" s="110"/>
      <c r="C420" s="17"/>
      <c r="D420" s="6"/>
      <c r="E420" s="18"/>
      <c r="F420" s="17"/>
      <c r="G420" s="6"/>
      <c r="H420" s="18"/>
      <c r="I420" s="17"/>
      <c r="J420" s="6"/>
      <c r="K420" s="17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>
      <c r="A421" s="6"/>
      <c r="B421" s="110"/>
      <c r="C421" s="17"/>
      <c r="D421" s="6"/>
      <c r="E421" s="18"/>
      <c r="F421" s="17"/>
      <c r="G421" s="6"/>
      <c r="H421" s="18"/>
      <c r="I421" s="17"/>
      <c r="J421" s="6"/>
      <c r="K421" s="17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>
      <c r="A422" s="6"/>
      <c r="B422" s="110"/>
      <c r="C422" s="17"/>
      <c r="D422" s="6"/>
      <c r="E422" s="18"/>
      <c r="F422" s="17"/>
      <c r="G422" s="6"/>
      <c r="H422" s="18"/>
      <c r="I422" s="17"/>
      <c r="J422" s="6"/>
      <c r="K422" s="17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>
      <c r="A423" s="6"/>
      <c r="B423" s="110"/>
      <c r="C423" s="17"/>
      <c r="D423" s="6"/>
      <c r="E423" s="18"/>
      <c r="F423" s="17"/>
      <c r="G423" s="6"/>
      <c r="H423" s="18"/>
      <c r="I423" s="17"/>
      <c r="J423" s="6"/>
      <c r="K423" s="17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>
      <c r="A424" s="6"/>
      <c r="B424" s="110"/>
      <c r="C424" s="17"/>
      <c r="D424" s="6"/>
      <c r="E424" s="18"/>
      <c r="F424" s="17"/>
      <c r="G424" s="6"/>
      <c r="H424" s="18"/>
      <c r="I424" s="17"/>
      <c r="J424" s="6"/>
      <c r="K424" s="17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>
      <c r="A425" s="6"/>
      <c r="B425" s="110"/>
      <c r="C425" s="17"/>
      <c r="D425" s="6"/>
      <c r="E425" s="18"/>
      <c r="F425" s="17"/>
      <c r="G425" s="6"/>
      <c r="H425" s="18"/>
      <c r="I425" s="17"/>
      <c r="J425" s="6"/>
      <c r="K425" s="17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>
      <c r="A426" s="6"/>
      <c r="B426" s="110"/>
      <c r="C426" s="17"/>
      <c r="D426" s="6"/>
      <c r="E426" s="18"/>
      <c r="F426" s="17"/>
      <c r="G426" s="6"/>
      <c r="H426" s="18"/>
      <c r="I426" s="17"/>
      <c r="J426" s="6"/>
      <c r="K426" s="17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>
      <c r="A427" s="6"/>
      <c r="B427" s="110"/>
      <c r="C427" s="17"/>
      <c r="D427" s="6"/>
      <c r="E427" s="18"/>
      <c r="F427" s="17"/>
      <c r="G427" s="6"/>
      <c r="H427" s="18"/>
      <c r="I427" s="17"/>
      <c r="J427" s="6"/>
      <c r="K427" s="17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>
      <c r="A428" s="6"/>
      <c r="B428" s="110"/>
      <c r="C428" s="17"/>
      <c r="D428" s="6"/>
      <c r="E428" s="18"/>
      <c r="F428" s="17"/>
      <c r="G428" s="6"/>
      <c r="H428" s="18"/>
      <c r="I428" s="17"/>
      <c r="J428" s="6"/>
      <c r="K428" s="17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>
      <c r="A429" s="6"/>
      <c r="B429" s="110"/>
      <c r="C429" s="17"/>
      <c r="D429" s="6"/>
      <c r="E429" s="18"/>
      <c r="F429" s="17"/>
      <c r="G429" s="6"/>
      <c r="H429" s="18"/>
      <c r="I429" s="17"/>
      <c r="J429" s="6"/>
      <c r="K429" s="17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>
      <c r="A430" s="6"/>
      <c r="B430" s="110"/>
      <c r="C430" s="17"/>
      <c r="D430" s="6"/>
      <c r="E430" s="18"/>
      <c r="F430" s="17"/>
      <c r="G430" s="6"/>
      <c r="H430" s="18"/>
      <c r="I430" s="17"/>
      <c r="J430" s="6"/>
      <c r="K430" s="17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>
      <c r="A431" s="6"/>
      <c r="B431" s="110"/>
      <c r="C431" s="17"/>
      <c r="D431" s="6"/>
      <c r="E431" s="18"/>
      <c r="F431" s="17"/>
      <c r="G431" s="6"/>
      <c r="H431" s="18"/>
      <c r="I431" s="17"/>
      <c r="J431" s="6"/>
      <c r="K431" s="17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>
      <c r="A432" s="6"/>
      <c r="B432" s="110"/>
      <c r="C432" s="17"/>
      <c r="D432" s="6"/>
      <c r="E432" s="18"/>
      <c r="F432" s="17"/>
      <c r="G432" s="6"/>
      <c r="H432" s="18"/>
      <c r="I432" s="17"/>
      <c r="J432" s="6"/>
      <c r="K432" s="17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>
      <c r="A433" s="6"/>
      <c r="B433" s="110"/>
      <c r="C433" s="17"/>
      <c r="D433" s="6"/>
      <c r="E433" s="18"/>
      <c r="F433" s="17"/>
      <c r="G433" s="6"/>
      <c r="H433" s="18"/>
      <c r="I433" s="17"/>
      <c r="J433" s="6"/>
      <c r="K433" s="17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>
      <c r="A434" s="6"/>
      <c r="B434" s="110"/>
      <c r="C434" s="17"/>
      <c r="D434" s="6"/>
      <c r="E434" s="18"/>
      <c r="F434" s="17"/>
      <c r="G434" s="6"/>
      <c r="H434" s="18"/>
      <c r="I434" s="17"/>
      <c r="J434" s="6"/>
      <c r="K434" s="17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>
      <c r="A435" s="6"/>
      <c r="B435" s="110"/>
      <c r="C435" s="17"/>
      <c r="D435" s="6"/>
      <c r="E435" s="18"/>
      <c r="F435" s="17"/>
      <c r="G435" s="6"/>
      <c r="H435" s="18"/>
      <c r="I435" s="17"/>
      <c r="J435" s="6"/>
      <c r="K435" s="17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>
      <c r="A436" s="6"/>
      <c r="B436" s="110"/>
      <c r="C436" s="17"/>
      <c r="D436" s="6"/>
      <c r="E436" s="18"/>
      <c r="F436" s="17"/>
      <c r="G436" s="6"/>
      <c r="H436" s="18"/>
      <c r="I436" s="17"/>
      <c r="J436" s="6"/>
      <c r="K436" s="17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>
      <c r="A437" s="6"/>
      <c r="B437" s="110"/>
      <c r="C437" s="17"/>
      <c r="D437" s="6"/>
      <c r="E437" s="18"/>
      <c r="F437" s="17"/>
      <c r="G437" s="6"/>
      <c r="H437" s="18"/>
      <c r="I437" s="17"/>
      <c r="J437" s="6"/>
      <c r="K437" s="17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>
      <c r="A438" s="6"/>
      <c r="B438" s="110"/>
      <c r="C438" s="17"/>
      <c r="D438" s="6"/>
      <c r="E438" s="18"/>
      <c r="F438" s="17"/>
      <c r="G438" s="6"/>
      <c r="H438" s="18"/>
      <c r="I438" s="17"/>
      <c r="J438" s="6"/>
      <c r="K438" s="17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>
      <c r="A439" s="6"/>
      <c r="B439" s="110"/>
      <c r="C439" s="17"/>
      <c r="D439" s="6"/>
      <c r="E439" s="18"/>
      <c r="F439" s="17"/>
      <c r="G439" s="6"/>
      <c r="H439" s="18"/>
      <c r="I439" s="17"/>
      <c r="J439" s="6"/>
      <c r="K439" s="17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>
      <c r="A440" s="6"/>
      <c r="B440" s="110"/>
      <c r="C440" s="17"/>
      <c r="D440" s="6"/>
      <c r="E440" s="18"/>
      <c r="F440" s="17"/>
      <c r="G440" s="6"/>
      <c r="H440" s="18"/>
      <c r="I440" s="17"/>
      <c r="J440" s="6"/>
      <c r="K440" s="17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>
      <c r="A441" s="6"/>
      <c r="B441" s="110"/>
      <c r="C441" s="17"/>
      <c r="D441" s="6"/>
      <c r="E441" s="18"/>
      <c r="F441" s="17"/>
      <c r="G441" s="6"/>
      <c r="H441" s="18"/>
      <c r="I441" s="17"/>
      <c r="J441" s="6"/>
      <c r="K441" s="17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>
      <c r="A442" s="6"/>
      <c r="B442" s="110"/>
      <c r="C442" s="17"/>
      <c r="D442" s="6"/>
      <c r="E442" s="18"/>
      <c r="F442" s="17"/>
      <c r="G442" s="6"/>
      <c r="H442" s="18"/>
      <c r="I442" s="17"/>
      <c r="J442" s="6"/>
      <c r="K442" s="17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>
      <c r="A443" s="6"/>
      <c r="B443" s="110"/>
      <c r="C443" s="17"/>
      <c r="D443" s="6"/>
      <c r="E443" s="18"/>
      <c r="F443" s="17"/>
      <c r="G443" s="6"/>
      <c r="H443" s="18"/>
      <c r="I443" s="17"/>
      <c r="J443" s="6"/>
      <c r="K443" s="17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>
      <c r="A444" s="6"/>
      <c r="B444" s="110"/>
      <c r="C444" s="17"/>
      <c r="D444" s="6"/>
      <c r="E444" s="18"/>
      <c r="F444" s="17"/>
      <c r="G444" s="6"/>
      <c r="H444" s="18"/>
      <c r="I444" s="17"/>
      <c r="J444" s="6"/>
      <c r="K444" s="17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>
      <c r="A445" s="6"/>
      <c r="B445" s="110"/>
      <c r="C445" s="17"/>
      <c r="D445" s="6"/>
      <c r="E445" s="18"/>
      <c r="F445" s="17"/>
      <c r="G445" s="6"/>
      <c r="H445" s="18"/>
      <c r="I445" s="17"/>
      <c r="J445" s="6"/>
      <c r="K445" s="17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>
      <c r="A446" s="6"/>
      <c r="B446" s="110"/>
      <c r="C446" s="17"/>
      <c r="D446" s="6"/>
      <c r="E446" s="18"/>
      <c r="F446" s="17"/>
      <c r="G446" s="6"/>
      <c r="H446" s="18"/>
      <c r="I446" s="17"/>
      <c r="J446" s="6"/>
      <c r="K446" s="17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>
      <c r="A447" s="6"/>
      <c r="B447" s="110"/>
      <c r="C447" s="17"/>
      <c r="D447" s="6"/>
      <c r="E447" s="18"/>
      <c r="F447" s="17"/>
      <c r="G447" s="6"/>
      <c r="H447" s="18"/>
      <c r="I447" s="17"/>
      <c r="J447" s="6"/>
      <c r="K447" s="17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>
      <c r="A448" s="6"/>
      <c r="B448" s="110"/>
      <c r="C448" s="17"/>
      <c r="D448" s="6"/>
      <c r="E448" s="18"/>
      <c r="F448" s="17"/>
      <c r="G448" s="6"/>
      <c r="H448" s="18"/>
      <c r="I448" s="17"/>
      <c r="J448" s="6"/>
      <c r="K448" s="17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>
      <c r="A449" s="6"/>
      <c r="B449" s="110"/>
      <c r="C449" s="17"/>
      <c r="D449" s="6"/>
      <c r="E449" s="18"/>
      <c r="F449" s="17"/>
      <c r="G449" s="6"/>
      <c r="H449" s="18"/>
      <c r="I449" s="17"/>
      <c r="J449" s="6"/>
      <c r="K449" s="17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>
      <c r="A450" s="6"/>
      <c r="B450" s="110"/>
      <c r="C450" s="17"/>
      <c r="D450" s="6"/>
      <c r="E450" s="18"/>
      <c r="F450" s="17"/>
      <c r="G450" s="6"/>
      <c r="H450" s="18"/>
      <c r="I450" s="17"/>
      <c r="J450" s="6"/>
      <c r="K450" s="17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>
      <c r="A451" s="6"/>
      <c r="B451" s="110"/>
      <c r="C451" s="17"/>
      <c r="D451" s="6"/>
      <c r="E451" s="18"/>
      <c r="F451" s="17"/>
      <c r="G451" s="6"/>
      <c r="H451" s="18"/>
      <c r="I451" s="17"/>
      <c r="J451" s="6"/>
      <c r="K451" s="17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>
      <c r="A452" s="6"/>
      <c r="B452" s="110"/>
      <c r="C452" s="17"/>
      <c r="D452" s="6"/>
      <c r="E452" s="18"/>
      <c r="F452" s="17"/>
      <c r="G452" s="6"/>
      <c r="H452" s="18"/>
      <c r="I452" s="17"/>
      <c r="J452" s="6"/>
      <c r="K452" s="17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>
      <c r="A453" s="6"/>
      <c r="B453" s="110"/>
      <c r="C453" s="17"/>
      <c r="D453" s="6"/>
      <c r="E453" s="18"/>
      <c r="F453" s="17"/>
      <c r="G453" s="6"/>
      <c r="H453" s="18"/>
      <c r="I453" s="17"/>
      <c r="J453" s="6"/>
      <c r="K453" s="17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>
      <c r="A454" s="6"/>
      <c r="B454" s="110"/>
      <c r="C454" s="17"/>
      <c r="D454" s="6"/>
      <c r="E454" s="18"/>
      <c r="F454" s="17"/>
      <c r="G454" s="6"/>
      <c r="H454" s="18"/>
      <c r="I454" s="17"/>
      <c r="J454" s="6"/>
      <c r="K454" s="17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>
      <c r="A455" s="6"/>
      <c r="B455" s="110"/>
      <c r="C455" s="17"/>
      <c r="D455" s="6"/>
      <c r="E455" s="18"/>
      <c r="F455" s="17"/>
      <c r="G455" s="6"/>
      <c r="H455" s="18"/>
      <c r="I455" s="17"/>
      <c r="J455" s="6"/>
      <c r="K455" s="17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>
      <c r="A456" s="6"/>
      <c r="B456" s="110"/>
      <c r="C456" s="17"/>
      <c r="D456" s="6"/>
      <c r="E456" s="18"/>
      <c r="F456" s="17"/>
      <c r="G456" s="6"/>
      <c r="H456" s="18"/>
      <c r="I456" s="17"/>
      <c r="J456" s="6"/>
      <c r="K456" s="17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>
      <c r="A457" s="6"/>
      <c r="B457" s="110"/>
      <c r="C457" s="17"/>
      <c r="D457" s="6"/>
      <c r="E457" s="18"/>
      <c r="F457" s="17"/>
      <c r="G457" s="6"/>
      <c r="H457" s="18"/>
      <c r="I457" s="17"/>
      <c r="J457" s="6"/>
      <c r="K457" s="17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>
      <c r="A458" s="6"/>
      <c r="B458" s="110"/>
      <c r="C458" s="17"/>
      <c r="D458" s="6"/>
      <c r="E458" s="18"/>
      <c r="F458" s="17"/>
      <c r="G458" s="6"/>
      <c r="H458" s="18"/>
      <c r="I458" s="17"/>
      <c r="J458" s="6"/>
      <c r="K458" s="17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>
      <c r="A459" s="6"/>
      <c r="B459" s="110"/>
      <c r="C459" s="17"/>
      <c r="D459" s="6"/>
      <c r="E459" s="18"/>
      <c r="F459" s="17"/>
      <c r="G459" s="6"/>
      <c r="H459" s="18"/>
      <c r="I459" s="17"/>
      <c r="J459" s="6"/>
      <c r="K459" s="17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>
      <c r="A460" s="6"/>
      <c r="B460" s="110"/>
      <c r="C460" s="17"/>
      <c r="D460" s="6"/>
      <c r="E460" s="18"/>
      <c r="F460" s="17"/>
      <c r="G460" s="6"/>
      <c r="H460" s="18"/>
      <c r="I460" s="17"/>
      <c r="J460" s="6"/>
      <c r="K460" s="17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>
      <c r="A461" s="6"/>
      <c r="B461" s="110"/>
      <c r="C461" s="17"/>
      <c r="D461" s="6"/>
      <c r="E461" s="18"/>
      <c r="F461" s="17"/>
      <c r="G461" s="6"/>
      <c r="H461" s="18"/>
      <c r="I461" s="17"/>
      <c r="J461" s="6"/>
      <c r="K461" s="17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>
      <c r="A462" s="6"/>
      <c r="B462" s="110"/>
      <c r="C462" s="17"/>
      <c r="D462" s="6"/>
      <c r="E462" s="18"/>
      <c r="F462" s="17"/>
      <c r="G462" s="6"/>
      <c r="H462" s="18"/>
      <c r="I462" s="17"/>
      <c r="J462" s="6"/>
      <c r="K462" s="17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>
      <c r="A463" s="6"/>
      <c r="B463" s="110"/>
      <c r="C463" s="17"/>
      <c r="D463" s="6"/>
      <c r="E463" s="18"/>
      <c r="F463" s="17"/>
      <c r="G463" s="6"/>
      <c r="H463" s="18"/>
      <c r="I463" s="17"/>
      <c r="J463" s="6"/>
      <c r="K463" s="17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>
      <c r="A464" s="6"/>
      <c r="B464" s="110"/>
      <c r="C464" s="17"/>
      <c r="D464" s="6"/>
      <c r="E464" s="18"/>
      <c r="F464" s="17"/>
      <c r="G464" s="6"/>
      <c r="H464" s="18"/>
      <c r="I464" s="17"/>
      <c r="J464" s="6"/>
      <c r="K464" s="17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>
      <c r="A465" s="6"/>
      <c r="B465" s="110"/>
      <c r="C465" s="17"/>
      <c r="D465" s="6"/>
      <c r="E465" s="18"/>
      <c r="F465" s="17"/>
      <c r="G465" s="6"/>
      <c r="H465" s="18"/>
      <c r="I465" s="17"/>
      <c r="J465" s="6"/>
      <c r="K465" s="17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>
      <c r="A466" s="6"/>
      <c r="B466" s="110"/>
      <c r="C466" s="17"/>
      <c r="D466" s="6"/>
      <c r="E466" s="18"/>
      <c r="F466" s="17"/>
      <c r="G466" s="6"/>
      <c r="H466" s="18"/>
      <c r="I466" s="17"/>
      <c r="J466" s="6"/>
      <c r="K466" s="17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>
      <c r="A467" s="6"/>
      <c r="B467" s="110"/>
      <c r="C467" s="17"/>
      <c r="D467" s="6"/>
      <c r="E467" s="18"/>
      <c r="F467" s="17"/>
      <c r="G467" s="6"/>
      <c r="H467" s="18"/>
      <c r="I467" s="17"/>
      <c r="J467" s="6"/>
      <c r="K467" s="17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>
      <c r="A468" s="6"/>
      <c r="B468" s="110"/>
      <c r="C468" s="17"/>
      <c r="D468" s="6"/>
      <c r="E468" s="18"/>
      <c r="F468" s="17"/>
      <c r="G468" s="6"/>
      <c r="H468" s="18"/>
      <c r="I468" s="17"/>
      <c r="J468" s="6"/>
      <c r="K468" s="17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>
      <c r="A469" s="6"/>
      <c r="B469" s="110"/>
      <c r="C469" s="17"/>
      <c r="D469" s="6"/>
      <c r="E469" s="18"/>
      <c r="F469" s="17"/>
      <c r="G469" s="6"/>
      <c r="H469" s="18"/>
      <c r="I469" s="17"/>
      <c r="J469" s="6"/>
      <c r="K469" s="17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>
      <c r="A470" s="6"/>
      <c r="B470" s="110"/>
      <c r="C470" s="17"/>
      <c r="D470" s="6"/>
      <c r="E470" s="18"/>
      <c r="F470" s="17"/>
      <c r="G470" s="6"/>
      <c r="H470" s="18"/>
      <c r="I470" s="17"/>
      <c r="J470" s="6"/>
      <c r="K470" s="17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>
      <c r="A471" s="6"/>
      <c r="B471" s="110"/>
      <c r="C471" s="17"/>
      <c r="D471" s="6"/>
      <c r="E471" s="18"/>
      <c r="F471" s="17"/>
      <c r="G471" s="6"/>
      <c r="H471" s="18"/>
      <c r="I471" s="17"/>
      <c r="J471" s="6"/>
      <c r="K471" s="17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>
      <c r="A472" s="6"/>
      <c r="B472" s="110"/>
      <c r="C472" s="17"/>
      <c r="D472" s="6"/>
      <c r="E472" s="18"/>
      <c r="F472" s="17"/>
      <c r="G472" s="6"/>
      <c r="H472" s="18"/>
      <c r="I472" s="17"/>
      <c r="J472" s="6"/>
      <c r="K472" s="17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>
      <c r="A473" s="6"/>
      <c r="B473" s="110"/>
      <c r="C473" s="17"/>
      <c r="D473" s="6"/>
      <c r="E473" s="18"/>
      <c r="F473" s="17"/>
      <c r="G473" s="6"/>
      <c r="H473" s="18"/>
      <c r="I473" s="17"/>
      <c r="J473" s="6"/>
      <c r="K473" s="17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>
      <c r="A474" s="6"/>
      <c r="B474" s="110"/>
      <c r="C474" s="17"/>
      <c r="D474" s="6"/>
      <c r="E474" s="18"/>
      <c r="F474" s="17"/>
      <c r="G474" s="6"/>
      <c r="H474" s="18"/>
      <c r="I474" s="17"/>
      <c r="J474" s="6"/>
      <c r="K474" s="17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>
      <c r="A475" s="6"/>
      <c r="B475" s="110"/>
      <c r="C475" s="17"/>
      <c r="D475" s="6"/>
      <c r="E475" s="18"/>
      <c r="F475" s="17"/>
      <c r="G475" s="6"/>
      <c r="H475" s="18"/>
      <c r="I475" s="17"/>
      <c r="J475" s="6"/>
      <c r="K475" s="17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>
      <c r="A476" s="6"/>
      <c r="B476" s="110"/>
      <c r="C476" s="17"/>
      <c r="D476" s="6"/>
      <c r="E476" s="18"/>
      <c r="F476" s="17"/>
      <c r="G476" s="6"/>
      <c r="H476" s="18"/>
      <c r="I476" s="17"/>
      <c r="J476" s="6"/>
      <c r="K476" s="17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>
      <c r="A477" s="6"/>
      <c r="B477" s="110"/>
      <c r="C477" s="17"/>
      <c r="D477" s="6"/>
      <c r="E477" s="18"/>
      <c r="F477" s="17"/>
      <c r="G477" s="6"/>
      <c r="H477" s="18"/>
      <c r="I477" s="17"/>
      <c r="J477" s="6"/>
      <c r="K477" s="17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>
      <c r="A478" s="6"/>
      <c r="B478" s="110"/>
      <c r="C478" s="17"/>
      <c r="D478" s="6"/>
      <c r="E478" s="18"/>
      <c r="F478" s="17"/>
      <c r="G478" s="6"/>
      <c r="H478" s="18"/>
      <c r="I478" s="17"/>
      <c r="J478" s="6"/>
      <c r="K478" s="17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>
      <c r="A479" s="6"/>
      <c r="B479" s="110"/>
      <c r="C479" s="17"/>
      <c r="D479" s="6"/>
      <c r="E479" s="18"/>
      <c r="F479" s="17"/>
      <c r="G479" s="6"/>
      <c r="H479" s="18"/>
      <c r="I479" s="17"/>
      <c r="J479" s="6"/>
      <c r="K479" s="17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>
      <c r="A480" s="6"/>
      <c r="B480" s="110"/>
      <c r="C480" s="17"/>
      <c r="D480" s="6"/>
      <c r="E480" s="18"/>
      <c r="F480" s="17"/>
      <c r="G480" s="6"/>
      <c r="H480" s="18"/>
      <c r="I480" s="17"/>
      <c r="J480" s="6"/>
      <c r="K480" s="17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>
      <c r="A481" s="6"/>
      <c r="B481" s="110"/>
      <c r="C481" s="17"/>
      <c r="D481" s="6"/>
      <c r="E481" s="18"/>
      <c r="F481" s="17"/>
      <c r="G481" s="6"/>
      <c r="H481" s="18"/>
      <c r="I481" s="17"/>
      <c r="J481" s="6"/>
      <c r="K481" s="17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>
      <c r="A482" s="6"/>
      <c r="B482" s="110"/>
      <c r="C482" s="17"/>
      <c r="D482" s="6"/>
      <c r="E482" s="18"/>
      <c r="F482" s="17"/>
      <c r="G482" s="6"/>
      <c r="H482" s="18"/>
      <c r="I482" s="17"/>
      <c r="J482" s="6"/>
      <c r="K482" s="17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>
      <c r="A483" s="6"/>
      <c r="B483" s="110"/>
      <c r="C483" s="17"/>
      <c r="D483" s="6"/>
      <c r="E483" s="18"/>
      <c r="F483" s="17"/>
      <c r="G483" s="6"/>
      <c r="H483" s="18"/>
      <c r="I483" s="17"/>
      <c r="J483" s="6"/>
      <c r="K483" s="17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>
      <c r="A484" s="6"/>
      <c r="B484" s="110"/>
      <c r="C484" s="17"/>
      <c r="D484" s="6"/>
      <c r="E484" s="18"/>
      <c r="F484" s="17"/>
      <c r="G484" s="6"/>
      <c r="H484" s="18"/>
      <c r="I484" s="17"/>
      <c r="J484" s="6"/>
      <c r="K484" s="17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>
      <c r="A485" s="6"/>
      <c r="B485" s="110"/>
      <c r="C485" s="17"/>
      <c r="D485" s="6"/>
      <c r="E485" s="18"/>
      <c r="F485" s="17"/>
      <c r="G485" s="6"/>
      <c r="H485" s="18"/>
      <c r="I485" s="17"/>
      <c r="J485" s="6"/>
      <c r="K485" s="17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>
      <c r="A486" s="6"/>
      <c r="B486" s="110"/>
      <c r="C486" s="17"/>
      <c r="D486" s="6"/>
      <c r="E486" s="18"/>
      <c r="F486" s="17"/>
      <c r="G486" s="6"/>
      <c r="H486" s="18"/>
      <c r="I486" s="17"/>
      <c r="J486" s="6"/>
      <c r="K486" s="17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>
      <c r="A487" s="6"/>
      <c r="B487" s="110"/>
      <c r="C487" s="17"/>
      <c r="D487" s="6"/>
      <c r="E487" s="18"/>
      <c r="F487" s="17"/>
      <c r="G487" s="6"/>
      <c r="H487" s="18"/>
      <c r="I487" s="17"/>
      <c r="J487" s="6"/>
      <c r="K487" s="17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>
      <c r="A488" s="6"/>
      <c r="B488" s="110"/>
      <c r="C488" s="17"/>
      <c r="D488" s="6"/>
      <c r="E488" s="18"/>
      <c r="F488" s="17"/>
      <c r="G488" s="6"/>
      <c r="H488" s="18"/>
      <c r="I488" s="17"/>
      <c r="J488" s="6"/>
      <c r="K488" s="17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>
      <c r="A489" s="6"/>
      <c r="B489" s="110"/>
      <c r="C489" s="17"/>
      <c r="D489" s="6"/>
      <c r="E489" s="18"/>
      <c r="F489" s="17"/>
      <c r="G489" s="6"/>
      <c r="H489" s="18"/>
      <c r="I489" s="17"/>
      <c r="J489" s="6"/>
      <c r="K489" s="17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>
      <c r="A490" s="6"/>
      <c r="B490" s="110"/>
      <c r="C490" s="17"/>
      <c r="D490" s="6"/>
      <c r="E490" s="18"/>
      <c r="F490" s="17"/>
      <c r="G490" s="6"/>
      <c r="H490" s="18"/>
      <c r="I490" s="17"/>
      <c r="J490" s="6"/>
      <c r="K490" s="17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>
      <c r="A491" s="6"/>
      <c r="B491" s="110"/>
      <c r="C491" s="17"/>
      <c r="D491" s="6"/>
      <c r="E491" s="18"/>
      <c r="F491" s="17"/>
      <c r="G491" s="6"/>
      <c r="H491" s="18"/>
      <c r="I491" s="17"/>
      <c r="J491" s="6"/>
      <c r="K491" s="17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>
      <c r="A492" s="6"/>
      <c r="B492" s="110"/>
      <c r="C492" s="17"/>
      <c r="D492" s="6"/>
      <c r="E492" s="18"/>
      <c r="F492" s="17"/>
      <c r="G492" s="6"/>
      <c r="H492" s="18"/>
      <c r="I492" s="17"/>
      <c r="J492" s="6"/>
      <c r="K492" s="17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>
      <c r="A493" s="6"/>
      <c r="B493" s="110"/>
      <c r="C493" s="17"/>
      <c r="D493" s="6"/>
      <c r="E493" s="18"/>
      <c r="F493" s="17"/>
      <c r="G493" s="6"/>
      <c r="H493" s="18"/>
      <c r="I493" s="17"/>
      <c r="J493" s="6"/>
      <c r="K493" s="17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>
      <c r="A494" s="6"/>
      <c r="B494" s="110"/>
      <c r="C494" s="17"/>
      <c r="D494" s="6"/>
      <c r="E494" s="18"/>
      <c r="F494" s="17"/>
      <c r="G494" s="6"/>
      <c r="H494" s="18"/>
      <c r="I494" s="17"/>
      <c r="J494" s="6"/>
      <c r="K494" s="17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>
      <c r="A495" s="6"/>
      <c r="B495" s="110"/>
      <c r="C495" s="17"/>
      <c r="D495" s="6"/>
      <c r="E495" s="18"/>
      <c r="F495" s="17"/>
      <c r="G495" s="6"/>
      <c r="H495" s="18"/>
      <c r="I495" s="17"/>
      <c r="J495" s="6"/>
      <c r="K495" s="17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>
      <c r="A496" s="6"/>
      <c r="B496" s="110"/>
      <c r="C496" s="17"/>
      <c r="D496" s="6"/>
      <c r="E496" s="18"/>
      <c r="F496" s="17"/>
      <c r="G496" s="6"/>
      <c r="H496" s="18"/>
      <c r="I496" s="17"/>
      <c r="J496" s="6"/>
      <c r="K496" s="17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>
      <c r="A497" s="6"/>
      <c r="B497" s="110"/>
      <c r="C497" s="17"/>
      <c r="D497" s="6"/>
      <c r="E497" s="18"/>
      <c r="F497" s="17"/>
      <c r="G497" s="6"/>
      <c r="H497" s="18"/>
      <c r="I497" s="17"/>
      <c r="J497" s="6"/>
      <c r="K497" s="17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>
      <c r="A498" s="6"/>
      <c r="B498" s="110"/>
      <c r="C498" s="17"/>
      <c r="D498" s="6"/>
      <c r="E498" s="18"/>
      <c r="F498" s="17"/>
      <c r="G498" s="6"/>
      <c r="H498" s="18"/>
      <c r="I498" s="17"/>
      <c r="J498" s="6"/>
      <c r="K498" s="17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>
      <c r="A499" s="6"/>
      <c r="B499" s="110"/>
      <c r="C499" s="17"/>
      <c r="D499" s="6"/>
      <c r="E499" s="18"/>
      <c r="F499" s="17"/>
      <c r="G499" s="6"/>
      <c r="H499" s="18"/>
      <c r="I499" s="17"/>
      <c r="J499" s="6"/>
      <c r="K499" s="17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>
      <c r="A500" s="6"/>
      <c r="B500" s="110"/>
      <c r="C500" s="17"/>
      <c r="D500" s="6"/>
      <c r="E500" s="18"/>
      <c r="F500" s="17"/>
      <c r="G500" s="6"/>
      <c r="H500" s="18"/>
      <c r="I500" s="17"/>
      <c r="J500" s="6"/>
      <c r="K500" s="17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>
      <c r="A501" s="6"/>
      <c r="B501" s="110"/>
      <c r="C501" s="17"/>
      <c r="D501" s="6"/>
      <c r="E501" s="18"/>
      <c r="F501" s="17"/>
      <c r="G501" s="6"/>
      <c r="H501" s="18"/>
      <c r="I501" s="17"/>
      <c r="J501" s="6"/>
      <c r="K501" s="17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>
      <c r="A502" s="6"/>
      <c r="B502" s="110"/>
      <c r="C502" s="17"/>
      <c r="D502" s="6"/>
      <c r="E502" s="18"/>
      <c r="F502" s="17"/>
      <c r="G502" s="6"/>
      <c r="H502" s="18"/>
      <c r="I502" s="17"/>
      <c r="J502" s="6"/>
      <c r="K502" s="17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>
      <c r="A503" s="6"/>
      <c r="B503" s="110"/>
      <c r="C503" s="17"/>
      <c r="D503" s="6"/>
      <c r="E503" s="18"/>
      <c r="F503" s="17"/>
      <c r="G503" s="6"/>
      <c r="H503" s="18"/>
      <c r="I503" s="17"/>
      <c r="J503" s="6"/>
      <c r="K503" s="17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>
      <c r="A504" s="6"/>
      <c r="B504" s="110"/>
      <c r="C504" s="17"/>
      <c r="D504" s="6"/>
      <c r="E504" s="18"/>
      <c r="F504" s="17"/>
      <c r="G504" s="6"/>
      <c r="H504" s="18"/>
      <c r="I504" s="17"/>
      <c r="J504" s="6"/>
      <c r="K504" s="17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>
      <c r="A505" s="6"/>
      <c r="B505" s="110"/>
      <c r="C505" s="17"/>
      <c r="D505" s="6"/>
      <c r="E505" s="18"/>
      <c r="F505" s="17"/>
      <c r="G505" s="6"/>
      <c r="H505" s="18"/>
      <c r="I505" s="17"/>
      <c r="J505" s="6"/>
      <c r="K505" s="17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>
      <c r="A506" s="6"/>
      <c r="B506" s="110"/>
      <c r="C506" s="17"/>
      <c r="D506" s="6"/>
      <c r="E506" s="18"/>
      <c r="F506" s="17"/>
      <c r="G506" s="6"/>
      <c r="H506" s="18"/>
      <c r="I506" s="17"/>
      <c r="J506" s="6"/>
      <c r="K506" s="17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>
      <c r="A507" s="6"/>
      <c r="B507" s="110"/>
      <c r="C507" s="17"/>
      <c r="D507" s="6"/>
      <c r="E507" s="18"/>
      <c r="F507" s="17"/>
      <c r="G507" s="6"/>
      <c r="H507" s="18"/>
      <c r="I507" s="17"/>
      <c r="J507" s="6"/>
      <c r="K507" s="17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>
      <c r="A508" s="6"/>
      <c r="B508" s="110"/>
      <c r="C508" s="17"/>
      <c r="D508" s="6"/>
      <c r="E508" s="18"/>
      <c r="F508" s="17"/>
      <c r="G508" s="6"/>
      <c r="H508" s="18"/>
      <c r="I508" s="17"/>
      <c r="J508" s="6"/>
      <c r="K508" s="17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>
      <c r="A509" s="6"/>
      <c r="B509" s="110"/>
      <c r="C509" s="17"/>
      <c r="D509" s="6"/>
      <c r="E509" s="18"/>
      <c r="F509" s="17"/>
      <c r="G509" s="6"/>
      <c r="H509" s="18"/>
      <c r="I509" s="17"/>
      <c r="J509" s="6"/>
      <c r="K509" s="17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>
      <c r="A510" s="6"/>
      <c r="B510" s="110"/>
      <c r="C510" s="17"/>
      <c r="D510" s="6"/>
      <c r="E510" s="18"/>
      <c r="F510" s="17"/>
      <c r="G510" s="6"/>
      <c r="H510" s="18"/>
      <c r="I510" s="17"/>
      <c r="J510" s="6"/>
      <c r="K510" s="17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>
      <c r="A511" s="6"/>
      <c r="B511" s="110"/>
      <c r="C511" s="17"/>
      <c r="D511" s="6"/>
      <c r="E511" s="18"/>
      <c r="F511" s="17"/>
      <c r="G511" s="6"/>
      <c r="H511" s="18"/>
      <c r="I511" s="17"/>
      <c r="J511" s="6"/>
      <c r="K511" s="17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>
      <c r="A512" s="6"/>
      <c r="B512" s="110"/>
      <c r="C512" s="17"/>
      <c r="D512" s="6"/>
      <c r="E512" s="18"/>
      <c r="F512" s="17"/>
      <c r="G512" s="6"/>
      <c r="H512" s="18"/>
      <c r="I512" s="17"/>
      <c r="J512" s="6"/>
      <c r="K512" s="17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>
      <c r="A513" s="6"/>
      <c r="B513" s="110"/>
      <c r="C513" s="17"/>
      <c r="D513" s="6"/>
      <c r="E513" s="18"/>
      <c r="F513" s="17"/>
      <c r="G513" s="6"/>
      <c r="H513" s="18"/>
      <c r="I513" s="17"/>
      <c r="J513" s="6"/>
      <c r="K513" s="17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>
      <c r="A514" s="6"/>
      <c r="B514" s="110"/>
      <c r="C514" s="17"/>
      <c r="D514" s="6"/>
      <c r="E514" s="18"/>
      <c r="F514" s="17"/>
      <c r="G514" s="6"/>
      <c r="H514" s="18"/>
      <c r="I514" s="17"/>
      <c r="J514" s="6"/>
      <c r="K514" s="17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>
      <c r="A515" s="6"/>
      <c r="B515" s="110"/>
      <c r="C515" s="17"/>
      <c r="D515" s="6"/>
      <c r="E515" s="18"/>
      <c r="F515" s="17"/>
      <c r="G515" s="6"/>
      <c r="H515" s="18"/>
      <c r="I515" s="17"/>
      <c r="J515" s="6"/>
      <c r="K515" s="17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>
      <c r="A516" s="6"/>
      <c r="B516" s="110"/>
      <c r="C516" s="17"/>
      <c r="D516" s="6"/>
      <c r="E516" s="18"/>
      <c r="F516" s="17"/>
      <c r="G516" s="6"/>
      <c r="H516" s="18"/>
      <c r="I516" s="17"/>
      <c r="J516" s="6"/>
      <c r="K516" s="17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>
      <c r="A517" s="6"/>
      <c r="B517" s="110"/>
      <c r="C517" s="17"/>
      <c r="D517" s="6"/>
      <c r="E517" s="18"/>
      <c r="F517" s="17"/>
      <c r="G517" s="6"/>
      <c r="H517" s="18"/>
      <c r="I517" s="17"/>
      <c r="J517" s="6"/>
      <c r="K517" s="17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>
      <c r="A518" s="6"/>
      <c r="B518" s="110"/>
      <c r="C518" s="17"/>
      <c r="D518" s="6"/>
      <c r="E518" s="18"/>
      <c r="F518" s="17"/>
      <c r="G518" s="6"/>
      <c r="H518" s="18"/>
      <c r="I518" s="17"/>
      <c r="J518" s="6"/>
      <c r="K518" s="17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>
      <c r="A519" s="6"/>
      <c r="B519" s="110"/>
      <c r="C519" s="17"/>
      <c r="D519" s="6"/>
      <c r="E519" s="18"/>
      <c r="F519" s="17"/>
      <c r="G519" s="6"/>
      <c r="H519" s="18"/>
      <c r="I519" s="17"/>
      <c r="J519" s="6"/>
      <c r="K519" s="17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>
      <c r="A520" s="6"/>
      <c r="B520" s="110"/>
      <c r="C520" s="17"/>
      <c r="D520" s="6"/>
      <c r="E520" s="18"/>
      <c r="F520" s="17"/>
      <c r="G520" s="6"/>
      <c r="H520" s="18"/>
      <c r="I520" s="17"/>
      <c r="J520" s="6"/>
      <c r="K520" s="17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>
      <c r="A521" s="6"/>
      <c r="B521" s="110"/>
      <c r="C521" s="17"/>
      <c r="D521" s="6"/>
      <c r="E521" s="18"/>
      <c r="F521" s="17"/>
      <c r="G521" s="6"/>
      <c r="H521" s="18"/>
      <c r="I521" s="17"/>
      <c r="J521" s="6"/>
      <c r="K521" s="17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>
      <c r="A522" s="6"/>
      <c r="B522" s="110"/>
      <c r="C522" s="17"/>
      <c r="D522" s="6"/>
      <c r="E522" s="18"/>
      <c r="F522" s="17"/>
      <c r="G522" s="6"/>
      <c r="H522" s="18"/>
      <c r="I522" s="17"/>
      <c r="J522" s="6"/>
      <c r="K522" s="17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>
      <c r="A523" s="6"/>
      <c r="B523" s="110"/>
      <c r="C523" s="17"/>
      <c r="D523" s="6"/>
      <c r="E523" s="18"/>
      <c r="F523" s="17"/>
      <c r="G523" s="6"/>
      <c r="H523" s="18"/>
      <c r="I523" s="17"/>
      <c r="J523" s="6"/>
      <c r="K523" s="17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>
      <c r="A524" s="6"/>
      <c r="B524" s="110"/>
      <c r="C524" s="17"/>
      <c r="D524" s="6"/>
      <c r="E524" s="18"/>
      <c r="F524" s="17"/>
      <c r="G524" s="6"/>
      <c r="H524" s="18"/>
      <c r="I524" s="17"/>
      <c r="J524" s="6"/>
      <c r="K524" s="17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>
      <c r="A525" s="6"/>
      <c r="B525" s="110"/>
      <c r="C525" s="17"/>
      <c r="D525" s="6"/>
      <c r="E525" s="18"/>
      <c r="F525" s="17"/>
      <c r="G525" s="6"/>
      <c r="H525" s="18"/>
      <c r="I525" s="17"/>
      <c r="J525" s="6"/>
      <c r="K525" s="17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>
      <c r="A526" s="6"/>
      <c r="B526" s="110"/>
      <c r="C526" s="17"/>
      <c r="D526" s="6"/>
      <c r="E526" s="18"/>
      <c r="F526" s="17"/>
      <c r="G526" s="6"/>
      <c r="H526" s="18"/>
      <c r="I526" s="17"/>
      <c r="J526" s="6"/>
      <c r="K526" s="17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>
      <c r="A527" s="6"/>
      <c r="B527" s="110"/>
      <c r="C527" s="17"/>
      <c r="D527" s="6"/>
      <c r="E527" s="18"/>
      <c r="F527" s="17"/>
      <c r="G527" s="6"/>
      <c r="H527" s="18"/>
      <c r="I527" s="17"/>
      <c r="J527" s="6"/>
      <c r="K527" s="17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>
      <c r="A528" s="6"/>
      <c r="B528" s="110"/>
      <c r="C528" s="17"/>
      <c r="D528" s="6"/>
      <c r="E528" s="18"/>
      <c r="F528" s="17"/>
      <c r="G528" s="6"/>
      <c r="H528" s="18"/>
      <c r="I528" s="17"/>
      <c r="J528" s="6"/>
      <c r="K528" s="17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>
      <c r="A529" s="6"/>
      <c r="B529" s="110"/>
      <c r="C529" s="17"/>
      <c r="D529" s="6"/>
      <c r="E529" s="18"/>
      <c r="F529" s="17"/>
      <c r="G529" s="6"/>
      <c r="H529" s="18"/>
      <c r="I529" s="17"/>
      <c r="J529" s="6"/>
      <c r="K529" s="17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>
      <c r="A530" s="6"/>
      <c r="B530" s="110"/>
      <c r="C530" s="17"/>
      <c r="D530" s="6"/>
      <c r="E530" s="18"/>
      <c r="F530" s="17"/>
      <c r="G530" s="6"/>
      <c r="H530" s="18"/>
      <c r="I530" s="17"/>
      <c r="J530" s="6"/>
      <c r="K530" s="17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>
      <c r="A531" s="6"/>
      <c r="B531" s="110"/>
      <c r="C531" s="17"/>
      <c r="D531" s="6"/>
      <c r="E531" s="18"/>
      <c r="F531" s="17"/>
      <c r="G531" s="6"/>
      <c r="H531" s="18"/>
      <c r="I531" s="17"/>
      <c r="J531" s="6"/>
      <c r="K531" s="17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>
      <c r="A532" s="6"/>
      <c r="B532" s="110"/>
      <c r="C532" s="17"/>
      <c r="D532" s="6"/>
      <c r="E532" s="18"/>
      <c r="F532" s="17"/>
      <c r="G532" s="6"/>
      <c r="H532" s="18"/>
      <c r="I532" s="17"/>
      <c r="J532" s="6"/>
      <c r="K532" s="17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>
      <c r="A533" s="6"/>
      <c r="B533" s="110"/>
      <c r="C533" s="17"/>
      <c r="D533" s="6"/>
      <c r="E533" s="18"/>
      <c r="F533" s="17"/>
      <c r="G533" s="6"/>
      <c r="H533" s="18"/>
      <c r="I533" s="17"/>
      <c r="J533" s="6"/>
      <c r="K533" s="17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>
      <c r="A534" s="6"/>
      <c r="B534" s="110"/>
      <c r="C534" s="17"/>
      <c r="D534" s="6"/>
      <c r="E534" s="18"/>
      <c r="F534" s="17"/>
      <c r="G534" s="6"/>
      <c r="H534" s="18"/>
      <c r="I534" s="17"/>
      <c r="J534" s="6"/>
      <c r="K534" s="17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>
      <c r="A535" s="6"/>
      <c r="B535" s="110"/>
      <c r="C535" s="17"/>
      <c r="D535" s="6"/>
      <c r="E535" s="18"/>
      <c r="F535" s="17"/>
      <c r="G535" s="6"/>
      <c r="H535" s="18"/>
      <c r="I535" s="17"/>
      <c r="J535" s="6"/>
      <c r="K535" s="17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>
      <c r="A536" s="6"/>
      <c r="B536" s="110"/>
      <c r="C536" s="17"/>
      <c r="D536" s="6"/>
      <c r="E536" s="18"/>
      <c r="F536" s="17"/>
      <c r="G536" s="6"/>
      <c r="H536" s="18"/>
      <c r="I536" s="17"/>
      <c r="J536" s="6"/>
      <c r="K536" s="17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>
      <c r="A537" s="6"/>
      <c r="B537" s="110"/>
      <c r="C537" s="17"/>
      <c r="D537" s="6"/>
      <c r="E537" s="18"/>
      <c r="F537" s="17"/>
      <c r="G537" s="6"/>
      <c r="H537" s="18"/>
      <c r="I537" s="17"/>
      <c r="J537" s="6"/>
      <c r="K537" s="17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>
      <c r="A538" s="6"/>
      <c r="B538" s="110"/>
      <c r="C538" s="17"/>
      <c r="D538" s="6"/>
      <c r="E538" s="18"/>
      <c r="F538" s="17"/>
      <c r="G538" s="6"/>
      <c r="H538" s="18"/>
      <c r="I538" s="17"/>
      <c r="J538" s="6"/>
      <c r="K538" s="17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>
      <c r="A539" s="6"/>
      <c r="B539" s="110"/>
      <c r="C539" s="17"/>
      <c r="D539" s="6"/>
      <c r="E539" s="18"/>
      <c r="F539" s="17"/>
      <c r="G539" s="6"/>
      <c r="H539" s="18"/>
      <c r="I539" s="17"/>
      <c r="J539" s="6"/>
      <c r="K539" s="17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>
      <c r="A540" s="6"/>
      <c r="B540" s="110"/>
      <c r="C540" s="17"/>
      <c r="D540" s="6"/>
      <c r="E540" s="18"/>
      <c r="F540" s="17"/>
      <c r="G540" s="6"/>
      <c r="H540" s="18"/>
      <c r="I540" s="17"/>
      <c r="J540" s="6"/>
      <c r="K540" s="17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>
      <c r="A541" s="6"/>
      <c r="B541" s="110"/>
      <c r="C541" s="17"/>
      <c r="D541" s="6"/>
      <c r="E541" s="18"/>
      <c r="F541" s="17"/>
      <c r="G541" s="6"/>
      <c r="H541" s="18"/>
      <c r="I541" s="17"/>
      <c r="J541" s="6"/>
      <c r="K541" s="17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>
      <c r="A542" s="6"/>
      <c r="B542" s="110"/>
      <c r="C542" s="17"/>
      <c r="D542" s="6"/>
      <c r="E542" s="18"/>
      <c r="F542" s="17"/>
      <c r="G542" s="6"/>
      <c r="H542" s="18"/>
      <c r="I542" s="17"/>
      <c r="J542" s="6"/>
      <c r="K542" s="17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>
      <c r="A543" s="6"/>
      <c r="B543" s="110"/>
      <c r="C543" s="17"/>
      <c r="D543" s="6"/>
      <c r="E543" s="18"/>
      <c r="F543" s="17"/>
      <c r="G543" s="6"/>
      <c r="H543" s="18"/>
      <c r="I543" s="17"/>
      <c r="J543" s="6"/>
      <c r="K543" s="17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>
      <c r="A544" s="6"/>
      <c r="B544" s="110"/>
      <c r="C544" s="17"/>
      <c r="D544" s="6"/>
      <c r="E544" s="18"/>
      <c r="F544" s="17"/>
      <c r="G544" s="6"/>
      <c r="H544" s="18"/>
      <c r="I544" s="17"/>
      <c r="J544" s="6"/>
      <c r="K544" s="17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>
      <c r="A545" s="6"/>
      <c r="B545" s="110"/>
      <c r="C545" s="17"/>
      <c r="D545" s="6"/>
      <c r="E545" s="18"/>
      <c r="F545" s="17"/>
      <c r="G545" s="6"/>
      <c r="H545" s="18"/>
      <c r="I545" s="17"/>
      <c r="J545" s="6"/>
      <c r="K545" s="17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>
      <c r="A546" s="6"/>
      <c r="B546" s="110"/>
      <c r="C546" s="17"/>
      <c r="D546" s="6"/>
      <c r="E546" s="18"/>
      <c r="F546" s="17"/>
      <c r="G546" s="6"/>
      <c r="H546" s="18"/>
      <c r="I546" s="17"/>
      <c r="J546" s="6"/>
      <c r="K546" s="17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>
      <c r="A547" s="6"/>
      <c r="B547" s="110"/>
      <c r="C547" s="17"/>
      <c r="D547" s="6"/>
      <c r="E547" s="18"/>
      <c r="F547" s="17"/>
      <c r="G547" s="6"/>
      <c r="H547" s="18"/>
      <c r="I547" s="17"/>
      <c r="J547" s="6"/>
      <c r="K547" s="17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>
      <c r="A548" s="6"/>
      <c r="B548" s="110"/>
      <c r="C548" s="17"/>
      <c r="D548" s="6"/>
      <c r="E548" s="18"/>
      <c r="F548" s="17"/>
      <c r="G548" s="6"/>
      <c r="H548" s="18"/>
      <c r="I548" s="17"/>
      <c r="J548" s="6"/>
      <c r="K548" s="17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>
      <c r="A549" s="6"/>
      <c r="B549" s="110"/>
      <c r="C549" s="17"/>
      <c r="D549" s="6"/>
      <c r="E549" s="18"/>
      <c r="F549" s="17"/>
      <c r="G549" s="6"/>
      <c r="H549" s="18"/>
      <c r="I549" s="17"/>
      <c r="J549" s="6"/>
      <c r="K549" s="17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>
      <c r="A550" s="6"/>
      <c r="B550" s="110"/>
      <c r="C550" s="17"/>
      <c r="D550" s="6"/>
      <c r="E550" s="18"/>
      <c r="F550" s="17"/>
      <c r="G550" s="6"/>
      <c r="H550" s="18"/>
      <c r="I550" s="17"/>
      <c r="J550" s="6"/>
      <c r="K550" s="17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>
      <c r="A551" s="6"/>
      <c r="B551" s="110"/>
      <c r="C551" s="17"/>
      <c r="D551" s="6"/>
      <c r="E551" s="18"/>
      <c r="F551" s="17"/>
      <c r="G551" s="6"/>
      <c r="H551" s="18"/>
      <c r="I551" s="17"/>
      <c r="J551" s="6"/>
      <c r="K551" s="17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>
      <c r="A552" s="6"/>
      <c r="B552" s="110"/>
      <c r="C552" s="17"/>
      <c r="D552" s="6"/>
      <c r="E552" s="18"/>
      <c r="F552" s="17"/>
      <c r="G552" s="6"/>
      <c r="H552" s="18"/>
      <c r="I552" s="17"/>
      <c r="J552" s="6"/>
      <c r="K552" s="17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>
      <c r="A553" s="6"/>
      <c r="B553" s="110"/>
      <c r="C553" s="17"/>
      <c r="D553" s="6"/>
      <c r="E553" s="18"/>
      <c r="F553" s="17"/>
      <c r="G553" s="6"/>
      <c r="H553" s="18"/>
      <c r="I553" s="17"/>
      <c r="J553" s="6"/>
      <c r="K553" s="17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>
      <c r="A554" s="6"/>
      <c r="B554" s="110"/>
      <c r="C554" s="17"/>
      <c r="D554" s="6"/>
      <c r="E554" s="18"/>
      <c r="F554" s="17"/>
      <c r="G554" s="6"/>
      <c r="H554" s="18"/>
      <c r="I554" s="17"/>
      <c r="J554" s="6"/>
      <c r="K554" s="17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>
      <c r="A555" s="6"/>
      <c r="B555" s="110"/>
      <c r="C555" s="17"/>
      <c r="D555" s="6"/>
      <c r="E555" s="18"/>
      <c r="F555" s="17"/>
      <c r="G555" s="6"/>
      <c r="H555" s="18"/>
      <c r="I555" s="17"/>
      <c r="J555" s="6"/>
      <c r="K555" s="17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>
      <c r="A556" s="6"/>
      <c r="B556" s="110"/>
      <c r="C556" s="17"/>
      <c r="D556" s="6"/>
      <c r="E556" s="18"/>
      <c r="F556" s="17"/>
      <c r="G556" s="6"/>
      <c r="H556" s="18"/>
      <c r="I556" s="17"/>
      <c r="J556" s="6"/>
      <c r="K556" s="17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>
      <c r="A557" s="6"/>
      <c r="B557" s="110"/>
      <c r="C557" s="17"/>
      <c r="D557" s="6"/>
      <c r="E557" s="18"/>
      <c r="F557" s="17"/>
      <c r="G557" s="6"/>
      <c r="H557" s="18"/>
      <c r="I557" s="17"/>
      <c r="J557" s="6"/>
      <c r="K557" s="17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>
      <c r="A558" s="6"/>
      <c r="B558" s="110"/>
      <c r="C558" s="17"/>
      <c r="D558" s="6"/>
      <c r="E558" s="18"/>
      <c r="F558" s="17"/>
      <c r="G558" s="6"/>
      <c r="H558" s="18"/>
      <c r="I558" s="17"/>
      <c r="J558" s="6"/>
      <c r="K558" s="17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>
      <c r="A559" s="6"/>
      <c r="B559" s="110"/>
      <c r="C559" s="17"/>
      <c r="D559" s="6"/>
      <c r="E559" s="18"/>
      <c r="F559" s="17"/>
      <c r="G559" s="6"/>
      <c r="H559" s="18"/>
      <c r="I559" s="17"/>
      <c r="J559" s="6"/>
      <c r="K559" s="17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>
      <c r="A560" s="6"/>
      <c r="B560" s="110"/>
      <c r="C560" s="17"/>
      <c r="D560" s="6"/>
      <c r="E560" s="18"/>
      <c r="F560" s="17"/>
      <c r="G560" s="6"/>
      <c r="H560" s="18"/>
      <c r="I560" s="17"/>
      <c r="J560" s="6"/>
      <c r="K560" s="17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>
      <c r="A561" s="6"/>
      <c r="B561" s="110"/>
      <c r="C561" s="17"/>
      <c r="D561" s="6"/>
      <c r="E561" s="18"/>
      <c r="F561" s="17"/>
      <c r="G561" s="6"/>
      <c r="H561" s="18"/>
      <c r="I561" s="17"/>
      <c r="J561" s="6"/>
      <c r="K561" s="17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>
      <c r="A562" s="6"/>
      <c r="B562" s="110"/>
      <c r="C562" s="17"/>
      <c r="D562" s="6"/>
      <c r="E562" s="18"/>
      <c r="F562" s="17"/>
      <c r="G562" s="6"/>
      <c r="H562" s="18"/>
      <c r="I562" s="17"/>
      <c r="J562" s="6"/>
      <c r="K562" s="17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>
      <c r="A563" s="6"/>
      <c r="B563" s="110"/>
      <c r="C563" s="17"/>
      <c r="D563" s="6"/>
      <c r="E563" s="18"/>
      <c r="F563" s="17"/>
      <c r="G563" s="6"/>
      <c r="H563" s="18"/>
      <c r="I563" s="17"/>
      <c r="J563" s="6"/>
      <c r="K563" s="17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>
      <c r="A564" s="6"/>
      <c r="B564" s="110"/>
      <c r="C564" s="17"/>
      <c r="D564" s="6"/>
      <c r="E564" s="18"/>
      <c r="F564" s="17"/>
      <c r="G564" s="6"/>
      <c r="H564" s="18"/>
      <c r="I564" s="17"/>
      <c r="J564" s="6"/>
      <c r="K564" s="17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>
      <c r="A565" s="6"/>
      <c r="B565" s="110"/>
      <c r="C565" s="17"/>
      <c r="D565" s="6"/>
      <c r="E565" s="18"/>
      <c r="F565" s="17"/>
      <c r="G565" s="6"/>
      <c r="H565" s="18"/>
      <c r="I565" s="17"/>
      <c r="J565" s="6"/>
      <c r="K565" s="17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>
      <c r="A566" s="6"/>
      <c r="B566" s="110"/>
      <c r="C566" s="17"/>
      <c r="D566" s="6"/>
      <c r="E566" s="18"/>
      <c r="F566" s="17"/>
      <c r="G566" s="6"/>
      <c r="H566" s="18"/>
      <c r="I566" s="17"/>
      <c r="J566" s="6"/>
      <c r="K566" s="17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>
      <c r="A567" s="6"/>
      <c r="B567" s="110"/>
      <c r="C567" s="17"/>
      <c r="D567" s="6"/>
      <c r="E567" s="18"/>
      <c r="F567" s="17"/>
      <c r="G567" s="6"/>
      <c r="H567" s="18"/>
      <c r="I567" s="17"/>
      <c r="J567" s="6"/>
      <c r="K567" s="17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>
      <c r="A568" s="6"/>
      <c r="B568" s="110"/>
      <c r="C568" s="17"/>
      <c r="D568" s="6"/>
      <c r="E568" s="18"/>
      <c r="F568" s="17"/>
      <c r="G568" s="6"/>
      <c r="H568" s="18"/>
      <c r="I568" s="17"/>
      <c r="J568" s="6"/>
      <c r="K568" s="17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>
      <c r="A569" s="6"/>
      <c r="B569" s="110"/>
      <c r="C569" s="17"/>
      <c r="D569" s="6"/>
      <c r="E569" s="18"/>
      <c r="F569" s="17"/>
      <c r="G569" s="6"/>
      <c r="H569" s="18"/>
      <c r="I569" s="17"/>
      <c r="J569" s="6"/>
      <c r="K569" s="17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>
      <c r="A570" s="6"/>
      <c r="B570" s="110"/>
      <c r="C570" s="17"/>
      <c r="D570" s="6"/>
      <c r="E570" s="18"/>
      <c r="F570" s="17"/>
      <c r="G570" s="6"/>
      <c r="H570" s="18"/>
      <c r="I570" s="17"/>
      <c r="J570" s="6"/>
      <c r="K570" s="17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>
      <c r="A571" s="6"/>
      <c r="B571" s="110"/>
      <c r="C571" s="17"/>
      <c r="D571" s="6"/>
      <c r="E571" s="18"/>
      <c r="F571" s="17"/>
      <c r="G571" s="6"/>
      <c r="H571" s="18"/>
      <c r="I571" s="17"/>
      <c r="J571" s="6"/>
      <c r="K571" s="17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>
      <c r="A572" s="6"/>
      <c r="B572" s="110"/>
      <c r="C572" s="17"/>
      <c r="D572" s="6"/>
      <c r="E572" s="18"/>
      <c r="F572" s="17"/>
      <c r="G572" s="6"/>
      <c r="H572" s="18"/>
      <c r="I572" s="17"/>
      <c r="J572" s="6"/>
      <c r="K572" s="17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>
      <c r="A573" s="6"/>
      <c r="B573" s="110"/>
      <c r="C573" s="17"/>
      <c r="D573" s="6"/>
      <c r="E573" s="18"/>
      <c r="F573" s="17"/>
      <c r="G573" s="6"/>
      <c r="H573" s="18"/>
      <c r="I573" s="17"/>
      <c r="J573" s="6"/>
      <c r="K573" s="17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>
      <c r="A574" s="6"/>
      <c r="B574" s="110"/>
      <c r="C574" s="17"/>
      <c r="D574" s="6"/>
      <c r="E574" s="18"/>
      <c r="F574" s="17"/>
      <c r="G574" s="6"/>
      <c r="H574" s="18"/>
      <c r="I574" s="17"/>
      <c r="J574" s="6"/>
      <c r="K574" s="17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>
      <c r="A575" s="6"/>
      <c r="B575" s="110"/>
      <c r="C575" s="17"/>
      <c r="D575" s="6"/>
      <c r="E575" s="18"/>
      <c r="F575" s="17"/>
      <c r="G575" s="6"/>
      <c r="H575" s="18"/>
      <c r="I575" s="17"/>
      <c r="J575" s="6"/>
      <c r="K575" s="17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>
      <c r="A576" s="6"/>
      <c r="B576" s="110"/>
      <c r="C576" s="17"/>
      <c r="D576" s="6"/>
      <c r="E576" s="18"/>
      <c r="F576" s="17"/>
      <c r="G576" s="6"/>
      <c r="H576" s="18"/>
      <c r="I576" s="17"/>
      <c r="J576" s="6"/>
      <c r="K576" s="17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>
      <c r="A577" s="6"/>
      <c r="B577" s="110"/>
      <c r="C577" s="17"/>
      <c r="D577" s="6"/>
      <c r="E577" s="18"/>
      <c r="F577" s="17"/>
      <c r="G577" s="6"/>
      <c r="H577" s="18"/>
      <c r="I577" s="17"/>
      <c r="J577" s="6"/>
      <c r="K577" s="17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>
      <c r="A578" s="6"/>
      <c r="B578" s="110"/>
      <c r="C578" s="17"/>
      <c r="D578" s="6"/>
      <c r="E578" s="18"/>
      <c r="F578" s="17"/>
      <c r="G578" s="6"/>
      <c r="H578" s="18"/>
      <c r="I578" s="17"/>
      <c r="J578" s="6"/>
      <c r="K578" s="17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>
      <c r="A579" s="6"/>
      <c r="B579" s="110"/>
      <c r="C579" s="17"/>
      <c r="D579" s="6"/>
      <c r="E579" s="18"/>
      <c r="F579" s="17"/>
      <c r="G579" s="6"/>
      <c r="H579" s="18"/>
      <c r="I579" s="17"/>
      <c r="J579" s="6"/>
      <c r="K579" s="17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>
      <c r="A580" s="6"/>
      <c r="B580" s="110"/>
      <c r="C580" s="17"/>
      <c r="D580" s="6"/>
      <c r="E580" s="18"/>
      <c r="F580" s="17"/>
      <c r="G580" s="6"/>
      <c r="H580" s="18"/>
      <c r="I580" s="17"/>
      <c r="J580" s="6"/>
      <c r="K580" s="17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>
      <c r="A581" s="6"/>
      <c r="B581" s="110"/>
      <c r="C581" s="17"/>
      <c r="D581" s="6"/>
      <c r="E581" s="18"/>
      <c r="F581" s="17"/>
      <c r="G581" s="6"/>
      <c r="H581" s="18"/>
      <c r="I581" s="17"/>
      <c r="J581" s="6"/>
      <c r="K581" s="17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>
      <c r="A582" s="6"/>
      <c r="B582" s="110"/>
      <c r="C582" s="17"/>
      <c r="D582" s="6"/>
      <c r="E582" s="18"/>
      <c r="F582" s="17"/>
      <c r="G582" s="6"/>
      <c r="H582" s="18"/>
      <c r="I582" s="17"/>
      <c r="J582" s="6"/>
      <c r="K582" s="17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>
      <c r="A583" s="6"/>
      <c r="B583" s="110"/>
      <c r="C583" s="17"/>
      <c r="D583" s="6"/>
      <c r="E583" s="18"/>
      <c r="F583" s="17"/>
      <c r="G583" s="6"/>
      <c r="H583" s="18"/>
      <c r="I583" s="17"/>
      <c r="J583" s="6"/>
      <c r="K583" s="17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>
      <c r="A584" s="6"/>
      <c r="B584" s="110"/>
      <c r="C584" s="17"/>
      <c r="D584" s="6"/>
      <c r="E584" s="18"/>
      <c r="F584" s="17"/>
      <c r="G584" s="6"/>
      <c r="H584" s="18"/>
      <c r="I584" s="17"/>
      <c r="J584" s="6"/>
      <c r="K584" s="17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>
      <c r="A585" s="6"/>
      <c r="B585" s="110"/>
      <c r="C585" s="17"/>
      <c r="D585" s="6"/>
      <c r="E585" s="18"/>
      <c r="F585" s="17"/>
      <c r="G585" s="6"/>
      <c r="H585" s="18"/>
      <c r="I585" s="17"/>
      <c r="J585" s="6"/>
      <c r="K585" s="17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>
      <c r="A586" s="6"/>
      <c r="B586" s="110"/>
      <c r="C586" s="17"/>
      <c r="D586" s="6"/>
      <c r="E586" s="18"/>
      <c r="F586" s="17"/>
      <c r="G586" s="6"/>
      <c r="H586" s="18"/>
      <c r="I586" s="17"/>
      <c r="J586" s="6"/>
      <c r="K586" s="17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>
      <c r="A587" s="6"/>
      <c r="B587" s="110"/>
      <c r="C587" s="17"/>
      <c r="D587" s="6"/>
      <c r="E587" s="18"/>
      <c r="F587" s="17"/>
      <c r="G587" s="6"/>
      <c r="H587" s="18"/>
      <c r="I587" s="17"/>
      <c r="J587" s="6"/>
      <c r="K587" s="17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>
      <c r="A588" s="6"/>
      <c r="B588" s="110"/>
      <c r="C588" s="17"/>
      <c r="D588" s="6"/>
      <c r="E588" s="18"/>
      <c r="F588" s="17"/>
      <c r="G588" s="6"/>
      <c r="H588" s="18"/>
      <c r="I588" s="17"/>
      <c r="J588" s="6"/>
      <c r="K588" s="17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>
      <c r="A589" s="6"/>
      <c r="B589" s="110"/>
      <c r="C589" s="17"/>
      <c r="D589" s="6"/>
      <c r="E589" s="18"/>
      <c r="F589" s="17"/>
      <c r="G589" s="6"/>
      <c r="H589" s="18"/>
      <c r="I589" s="17"/>
      <c r="J589" s="6"/>
      <c r="K589" s="17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>
      <c r="A590" s="6"/>
      <c r="B590" s="110"/>
      <c r="C590" s="17"/>
      <c r="D590" s="6"/>
      <c r="E590" s="18"/>
      <c r="F590" s="17"/>
      <c r="G590" s="6"/>
      <c r="H590" s="18"/>
      <c r="I590" s="17"/>
      <c r="J590" s="6"/>
      <c r="K590" s="17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>
      <c r="A591" s="6"/>
      <c r="B591" s="110"/>
      <c r="C591" s="17"/>
      <c r="D591" s="6"/>
      <c r="E591" s="18"/>
      <c r="F591" s="17"/>
      <c r="G591" s="6"/>
      <c r="H591" s="18"/>
      <c r="I591" s="17"/>
      <c r="J591" s="6"/>
      <c r="K591" s="17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>
      <c r="A592" s="6"/>
      <c r="B592" s="110"/>
      <c r="C592" s="17"/>
      <c r="D592" s="6"/>
      <c r="E592" s="18"/>
      <c r="F592" s="17"/>
      <c r="G592" s="6"/>
      <c r="H592" s="18"/>
      <c r="I592" s="17"/>
      <c r="J592" s="6"/>
      <c r="K592" s="17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>
      <c r="A593" s="6"/>
      <c r="B593" s="110"/>
      <c r="C593" s="17"/>
      <c r="D593" s="6"/>
      <c r="E593" s="18"/>
      <c r="F593" s="17"/>
      <c r="G593" s="6"/>
      <c r="H593" s="18"/>
      <c r="I593" s="17"/>
      <c r="J593" s="6"/>
      <c r="K593" s="17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>
      <c r="A594" s="6"/>
      <c r="B594" s="110"/>
      <c r="C594" s="17"/>
      <c r="D594" s="6"/>
      <c r="E594" s="18"/>
      <c r="F594" s="17"/>
      <c r="G594" s="6"/>
      <c r="H594" s="18"/>
      <c r="I594" s="17"/>
      <c r="J594" s="6"/>
      <c r="K594" s="17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>
      <c r="A595" s="6"/>
      <c r="B595" s="110"/>
      <c r="C595" s="17"/>
      <c r="D595" s="6"/>
      <c r="E595" s="18"/>
      <c r="F595" s="17"/>
      <c r="G595" s="6"/>
      <c r="H595" s="18"/>
      <c r="I595" s="17"/>
      <c r="J595" s="6"/>
      <c r="K595" s="17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>
      <c r="A596" s="6"/>
      <c r="B596" s="110"/>
      <c r="C596" s="17"/>
      <c r="D596" s="6"/>
      <c r="E596" s="18"/>
      <c r="F596" s="17"/>
      <c r="G596" s="6"/>
      <c r="H596" s="18"/>
      <c r="I596" s="17"/>
      <c r="J596" s="6"/>
      <c r="K596" s="17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>
      <c r="A597" s="6"/>
      <c r="B597" s="110"/>
      <c r="C597" s="17"/>
      <c r="D597" s="6"/>
      <c r="E597" s="18"/>
      <c r="F597" s="17"/>
      <c r="G597" s="6"/>
      <c r="H597" s="18"/>
      <c r="I597" s="17"/>
      <c r="J597" s="6"/>
      <c r="K597" s="17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>
      <c r="A598" s="6"/>
      <c r="B598" s="110"/>
      <c r="C598" s="17"/>
      <c r="D598" s="6"/>
      <c r="E598" s="18"/>
      <c r="F598" s="17"/>
      <c r="G598" s="6"/>
      <c r="H598" s="18"/>
      <c r="I598" s="17"/>
      <c r="J598" s="6"/>
      <c r="K598" s="17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>
      <c r="A599" s="6"/>
      <c r="B599" s="110"/>
      <c r="C599" s="17"/>
      <c r="D599" s="6"/>
      <c r="E599" s="18"/>
      <c r="F599" s="17"/>
      <c r="G599" s="6"/>
      <c r="H599" s="18"/>
      <c r="I599" s="17"/>
      <c r="J599" s="6"/>
      <c r="K599" s="17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>
      <c r="A600" s="6"/>
      <c r="B600" s="110"/>
      <c r="C600" s="17"/>
      <c r="D600" s="6"/>
      <c r="E600" s="18"/>
      <c r="F600" s="17"/>
      <c r="G600" s="6"/>
      <c r="H600" s="18"/>
      <c r="I600" s="17"/>
      <c r="J600" s="6"/>
      <c r="K600" s="17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>
      <c r="A601" s="6"/>
      <c r="B601" s="110"/>
      <c r="C601" s="17"/>
      <c r="D601" s="6"/>
      <c r="E601" s="18"/>
      <c r="F601" s="17"/>
      <c r="G601" s="6"/>
      <c r="H601" s="18"/>
      <c r="I601" s="17"/>
      <c r="J601" s="6"/>
      <c r="K601" s="17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>
      <c r="A602" s="6"/>
      <c r="B602" s="110"/>
      <c r="C602" s="17"/>
      <c r="D602" s="6"/>
      <c r="E602" s="18"/>
      <c r="F602" s="17"/>
      <c r="G602" s="6"/>
      <c r="H602" s="18"/>
      <c r="I602" s="17"/>
      <c r="J602" s="6"/>
      <c r="K602" s="17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>
      <c r="A603" s="6"/>
      <c r="B603" s="110"/>
      <c r="C603" s="17"/>
      <c r="D603" s="6"/>
      <c r="E603" s="18"/>
      <c r="F603" s="17"/>
      <c r="G603" s="6"/>
      <c r="H603" s="18"/>
      <c r="I603" s="17"/>
      <c r="J603" s="6"/>
      <c r="K603" s="17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>
      <c r="A604" s="6"/>
      <c r="B604" s="110"/>
      <c r="C604" s="17"/>
      <c r="D604" s="6"/>
      <c r="E604" s="18"/>
      <c r="F604" s="17"/>
      <c r="G604" s="6"/>
      <c r="H604" s="18"/>
      <c r="I604" s="17"/>
      <c r="J604" s="6"/>
      <c r="K604" s="17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>
      <c r="A605" s="6"/>
      <c r="B605" s="110"/>
      <c r="C605" s="17"/>
      <c r="D605" s="6"/>
      <c r="E605" s="18"/>
      <c r="F605" s="17"/>
      <c r="G605" s="6"/>
      <c r="H605" s="18"/>
      <c r="I605" s="17"/>
      <c r="J605" s="6"/>
      <c r="K605" s="17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>
      <c r="A606" s="6"/>
      <c r="B606" s="110"/>
      <c r="C606" s="17"/>
      <c r="D606" s="6"/>
      <c r="E606" s="18"/>
      <c r="F606" s="17"/>
      <c r="G606" s="6"/>
      <c r="H606" s="18"/>
      <c r="I606" s="17"/>
      <c r="J606" s="6"/>
      <c r="K606" s="17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>
      <c r="A607" s="6"/>
      <c r="B607" s="110"/>
      <c r="C607" s="17"/>
      <c r="D607" s="6"/>
      <c r="E607" s="18"/>
      <c r="F607" s="17"/>
      <c r="G607" s="6"/>
      <c r="H607" s="18"/>
      <c r="I607" s="17"/>
      <c r="J607" s="6"/>
      <c r="K607" s="17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>
      <c r="A608" s="6"/>
      <c r="B608" s="110"/>
      <c r="C608" s="17"/>
      <c r="D608" s="6"/>
      <c r="E608" s="18"/>
      <c r="F608" s="17"/>
      <c r="G608" s="6"/>
      <c r="H608" s="18"/>
      <c r="I608" s="17"/>
      <c r="J608" s="6"/>
      <c r="K608" s="17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>
      <c r="A609" s="6"/>
      <c r="B609" s="110"/>
      <c r="C609" s="17"/>
      <c r="D609" s="6"/>
      <c r="E609" s="18"/>
      <c r="F609" s="17"/>
      <c r="G609" s="6"/>
      <c r="H609" s="18"/>
      <c r="I609" s="17"/>
      <c r="J609" s="6"/>
      <c r="K609" s="17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>
      <c r="A610" s="6"/>
      <c r="B610" s="110"/>
      <c r="C610" s="17"/>
      <c r="D610" s="6"/>
      <c r="E610" s="18"/>
      <c r="F610" s="17"/>
      <c r="G610" s="6"/>
      <c r="H610" s="18"/>
      <c r="I610" s="17"/>
      <c r="J610" s="6"/>
      <c r="K610" s="17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>
      <c r="A611" s="6"/>
      <c r="B611" s="110"/>
      <c r="C611" s="17"/>
      <c r="D611" s="6"/>
      <c r="E611" s="18"/>
      <c r="F611" s="17"/>
      <c r="G611" s="6"/>
      <c r="H611" s="18"/>
      <c r="I611" s="17"/>
      <c r="J611" s="6"/>
      <c r="K611" s="17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>
      <c r="A612" s="6"/>
      <c r="B612" s="110"/>
      <c r="C612" s="17"/>
      <c r="D612" s="6"/>
      <c r="E612" s="18"/>
      <c r="F612" s="17"/>
      <c r="G612" s="6"/>
      <c r="H612" s="18"/>
      <c r="I612" s="17"/>
      <c r="J612" s="6"/>
      <c r="K612" s="17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>
      <c r="A613" s="6"/>
      <c r="B613" s="110"/>
      <c r="C613" s="17"/>
      <c r="D613" s="6"/>
      <c r="E613" s="18"/>
      <c r="F613" s="17"/>
      <c r="G613" s="6"/>
      <c r="H613" s="18"/>
      <c r="I613" s="17"/>
      <c r="J613" s="6"/>
      <c r="K613" s="17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>
      <c r="A614" s="6"/>
      <c r="B614" s="110"/>
      <c r="C614" s="17"/>
      <c r="D614" s="6"/>
      <c r="E614" s="18"/>
      <c r="F614" s="17"/>
      <c r="G614" s="6"/>
      <c r="H614" s="18"/>
      <c r="I614" s="17"/>
      <c r="J614" s="6"/>
      <c r="K614" s="17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>
      <c r="A615" s="6"/>
      <c r="B615" s="110"/>
      <c r="C615" s="17"/>
      <c r="D615" s="6"/>
      <c r="E615" s="18"/>
      <c r="F615" s="17"/>
      <c r="G615" s="6"/>
      <c r="H615" s="18"/>
      <c r="I615" s="17"/>
      <c r="J615" s="6"/>
      <c r="K615" s="17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>
      <c r="A616" s="6"/>
      <c r="B616" s="110"/>
      <c r="C616" s="17"/>
      <c r="D616" s="6"/>
      <c r="E616" s="18"/>
      <c r="F616" s="17"/>
      <c r="G616" s="6"/>
      <c r="H616" s="18"/>
      <c r="I616" s="17"/>
      <c r="J616" s="6"/>
      <c r="K616" s="17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>
      <c r="A617" s="6"/>
      <c r="B617" s="110"/>
      <c r="C617" s="17"/>
      <c r="D617" s="6"/>
      <c r="E617" s="18"/>
      <c r="F617" s="17"/>
      <c r="G617" s="6"/>
      <c r="H617" s="18"/>
      <c r="I617" s="17"/>
      <c r="J617" s="6"/>
      <c r="K617" s="17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>
      <c r="A618" s="6"/>
      <c r="B618" s="110"/>
      <c r="C618" s="17"/>
      <c r="D618" s="6"/>
      <c r="E618" s="18"/>
      <c r="F618" s="17"/>
      <c r="G618" s="6"/>
      <c r="H618" s="18"/>
      <c r="I618" s="17"/>
      <c r="J618" s="6"/>
      <c r="K618" s="17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>
      <c r="A619" s="6"/>
      <c r="B619" s="110"/>
      <c r="C619" s="17"/>
      <c r="D619" s="6"/>
      <c r="E619" s="18"/>
      <c r="F619" s="17"/>
      <c r="G619" s="6"/>
      <c r="H619" s="18"/>
      <c r="I619" s="17"/>
      <c r="J619" s="6"/>
      <c r="K619" s="17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>
      <c r="A620" s="6"/>
      <c r="B620" s="110"/>
      <c r="C620" s="17"/>
      <c r="D620" s="6"/>
      <c r="E620" s="18"/>
      <c r="F620" s="17"/>
      <c r="G620" s="6"/>
      <c r="H620" s="18"/>
      <c r="I620" s="17"/>
      <c r="J620" s="6"/>
      <c r="K620" s="17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>
      <c r="A621" s="6"/>
      <c r="B621" s="110"/>
      <c r="C621" s="17"/>
      <c r="D621" s="6"/>
      <c r="E621" s="18"/>
      <c r="F621" s="17"/>
      <c r="G621" s="6"/>
      <c r="H621" s="18"/>
      <c r="I621" s="17"/>
      <c r="J621" s="6"/>
      <c r="K621" s="17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>
      <c r="A622" s="6"/>
      <c r="B622" s="110"/>
      <c r="C622" s="17"/>
      <c r="D622" s="6"/>
      <c r="E622" s="18"/>
      <c r="F622" s="17"/>
      <c r="G622" s="6"/>
      <c r="H622" s="18"/>
      <c r="I622" s="17"/>
      <c r="J622" s="6"/>
      <c r="K622" s="17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>
      <c r="A623" s="6"/>
      <c r="B623" s="110"/>
      <c r="C623" s="17"/>
      <c r="D623" s="6"/>
      <c r="E623" s="18"/>
      <c r="F623" s="17"/>
      <c r="G623" s="6"/>
      <c r="H623" s="18"/>
      <c r="I623" s="17"/>
      <c r="J623" s="6"/>
      <c r="K623" s="17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>
      <c r="A624" s="6"/>
      <c r="B624" s="110"/>
      <c r="C624" s="17"/>
      <c r="D624" s="6"/>
      <c r="E624" s="18"/>
      <c r="F624" s="17"/>
      <c r="G624" s="6"/>
      <c r="H624" s="18"/>
      <c r="I624" s="17"/>
      <c r="J624" s="6"/>
      <c r="K624" s="17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>
      <c r="A625" s="6"/>
      <c r="B625" s="110"/>
      <c r="C625" s="17"/>
      <c r="D625" s="6"/>
      <c r="E625" s="18"/>
      <c r="F625" s="17"/>
      <c r="G625" s="6"/>
      <c r="H625" s="18"/>
      <c r="I625" s="17"/>
      <c r="J625" s="6"/>
      <c r="K625" s="17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>
      <c r="A626" s="6"/>
      <c r="B626" s="110"/>
      <c r="C626" s="17"/>
      <c r="D626" s="6"/>
      <c r="E626" s="18"/>
      <c r="F626" s="17"/>
      <c r="G626" s="6"/>
      <c r="H626" s="18"/>
      <c r="I626" s="17"/>
      <c r="J626" s="6"/>
      <c r="K626" s="17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>
      <c r="A627" s="6"/>
      <c r="B627" s="110"/>
      <c r="C627" s="17"/>
      <c r="D627" s="6"/>
      <c r="E627" s="18"/>
      <c r="F627" s="17"/>
      <c r="G627" s="6"/>
      <c r="H627" s="18"/>
      <c r="I627" s="17"/>
      <c r="J627" s="6"/>
      <c r="K627" s="17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>
      <c r="A628" s="6"/>
      <c r="B628" s="110"/>
      <c r="C628" s="17"/>
      <c r="D628" s="6"/>
      <c r="E628" s="18"/>
      <c r="F628" s="17"/>
      <c r="G628" s="6"/>
      <c r="H628" s="18"/>
      <c r="I628" s="17"/>
      <c r="J628" s="6"/>
      <c r="K628" s="17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>
      <c r="A629" s="6"/>
      <c r="B629" s="110"/>
      <c r="C629" s="17"/>
      <c r="D629" s="6"/>
      <c r="E629" s="18"/>
      <c r="F629" s="17"/>
      <c r="G629" s="6"/>
      <c r="H629" s="18"/>
      <c r="I629" s="17"/>
      <c r="J629" s="6"/>
      <c r="K629" s="17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>
      <c r="A630" s="6"/>
      <c r="B630" s="110"/>
      <c r="C630" s="17"/>
      <c r="D630" s="6"/>
      <c r="E630" s="18"/>
      <c r="F630" s="17"/>
      <c r="G630" s="6"/>
      <c r="H630" s="18"/>
      <c r="I630" s="17"/>
      <c r="J630" s="6"/>
      <c r="K630" s="17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>
      <c r="A631" s="6"/>
      <c r="B631" s="110"/>
      <c r="C631" s="17"/>
      <c r="D631" s="6"/>
      <c r="E631" s="18"/>
      <c r="F631" s="17"/>
      <c r="G631" s="6"/>
      <c r="H631" s="18"/>
      <c r="I631" s="17"/>
      <c r="J631" s="6"/>
      <c r="K631" s="17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>
      <c r="A632" s="6"/>
      <c r="B632" s="110"/>
      <c r="C632" s="17"/>
      <c r="D632" s="6"/>
      <c r="E632" s="18"/>
      <c r="F632" s="17"/>
      <c r="G632" s="6"/>
      <c r="H632" s="18"/>
      <c r="I632" s="17"/>
      <c r="J632" s="6"/>
      <c r="K632" s="17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>
      <c r="A633" s="6"/>
      <c r="B633" s="110"/>
      <c r="C633" s="17"/>
      <c r="D633" s="6"/>
      <c r="E633" s="18"/>
      <c r="F633" s="17"/>
      <c r="G633" s="6"/>
      <c r="H633" s="18"/>
      <c r="I633" s="17"/>
      <c r="J633" s="6"/>
      <c r="K633" s="17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>
      <c r="A634" s="6"/>
      <c r="B634" s="110"/>
      <c r="C634" s="17"/>
      <c r="D634" s="6"/>
      <c r="E634" s="18"/>
      <c r="F634" s="17"/>
      <c r="G634" s="6"/>
      <c r="H634" s="18"/>
      <c r="I634" s="17"/>
      <c r="J634" s="6"/>
      <c r="K634" s="17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>
      <c r="A635" s="6"/>
      <c r="B635" s="110"/>
      <c r="C635" s="17"/>
      <c r="D635" s="6"/>
      <c r="E635" s="18"/>
      <c r="F635" s="17"/>
      <c r="G635" s="6"/>
      <c r="H635" s="18"/>
      <c r="I635" s="17"/>
      <c r="J635" s="6"/>
      <c r="K635" s="17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>
      <c r="A636" s="6"/>
      <c r="B636" s="110"/>
      <c r="C636" s="17"/>
      <c r="D636" s="6"/>
      <c r="E636" s="18"/>
      <c r="F636" s="17"/>
      <c r="G636" s="6"/>
      <c r="H636" s="18"/>
      <c r="I636" s="17"/>
      <c r="J636" s="6"/>
      <c r="K636" s="17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>
      <c r="A637" s="6"/>
      <c r="B637" s="110"/>
      <c r="C637" s="17"/>
      <c r="D637" s="6"/>
      <c r="E637" s="18"/>
      <c r="F637" s="17"/>
      <c r="G637" s="6"/>
      <c r="H637" s="18"/>
      <c r="I637" s="17"/>
      <c r="J637" s="6"/>
      <c r="K637" s="17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>
      <c r="A638" s="6"/>
      <c r="B638" s="110"/>
      <c r="C638" s="17"/>
      <c r="D638" s="6"/>
      <c r="E638" s="18"/>
      <c r="F638" s="17"/>
      <c r="G638" s="6"/>
      <c r="H638" s="18"/>
      <c r="I638" s="17"/>
      <c r="J638" s="6"/>
      <c r="K638" s="17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>
      <c r="A639" s="6"/>
      <c r="B639" s="110"/>
      <c r="C639" s="17"/>
      <c r="D639" s="6"/>
      <c r="E639" s="18"/>
      <c r="F639" s="17"/>
      <c r="G639" s="6"/>
      <c r="H639" s="18"/>
      <c r="I639" s="17"/>
      <c r="J639" s="6"/>
      <c r="K639" s="17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>
      <c r="A640" s="6"/>
      <c r="B640" s="110"/>
      <c r="C640" s="17"/>
      <c r="D640" s="6"/>
      <c r="E640" s="18"/>
      <c r="F640" s="17"/>
      <c r="G640" s="6"/>
      <c r="H640" s="18"/>
      <c r="I640" s="17"/>
      <c r="J640" s="6"/>
      <c r="K640" s="17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>
      <c r="A641" s="6"/>
      <c r="B641" s="110"/>
      <c r="C641" s="17"/>
      <c r="D641" s="6"/>
      <c r="E641" s="18"/>
      <c r="F641" s="17"/>
      <c r="G641" s="6"/>
      <c r="H641" s="18"/>
      <c r="I641" s="17"/>
      <c r="J641" s="6"/>
      <c r="K641" s="17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>
      <c r="A642" s="6"/>
      <c r="B642" s="110"/>
      <c r="C642" s="17"/>
      <c r="D642" s="6"/>
      <c r="E642" s="18"/>
      <c r="F642" s="17"/>
      <c r="G642" s="6"/>
      <c r="H642" s="18"/>
      <c r="I642" s="17"/>
      <c r="J642" s="6"/>
      <c r="K642" s="17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>
      <c r="A643" s="6"/>
      <c r="B643" s="110"/>
      <c r="C643" s="17"/>
      <c r="D643" s="6"/>
      <c r="E643" s="18"/>
      <c r="F643" s="17"/>
      <c r="G643" s="6"/>
      <c r="H643" s="18"/>
      <c r="I643" s="17"/>
      <c r="J643" s="6"/>
      <c r="K643" s="17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>
      <c r="A644" s="6"/>
      <c r="B644" s="110"/>
      <c r="C644" s="17"/>
      <c r="D644" s="6"/>
      <c r="E644" s="18"/>
      <c r="F644" s="17"/>
      <c r="G644" s="6"/>
      <c r="H644" s="18"/>
      <c r="I644" s="17"/>
      <c r="J644" s="6"/>
      <c r="K644" s="17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>
      <c r="A645" s="6"/>
      <c r="B645" s="110"/>
      <c r="C645" s="17"/>
      <c r="D645" s="6"/>
      <c r="E645" s="18"/>
      <c r="F645" s="17"/>
      <c r="G645" s="6"/>
      <c r="H645" s="18"/>
      <c r="I645" s="17"/>
      <c r="J645" s="6"/>
      <c r="K645" s="17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>
      <c r="A646" s="6"/>
      <c r="B646" s="110"/>
      <c r="C646" s="17"/>
      <c r="D646" s="6"/>
      <c r="E646" s="18"/>
      <c r="F646" s="17"/>
      <c r="G646" s="6"/>
      <c r="H646" s="18"/>
      <c r="I646" s="17"/>
      <c r="J646" s="6"/>
      <c r="K646" s="17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>
      <c r="A647" s="6"/>
      <c r="B647" s="110"/>
      <c r="C647" s="17"/>
      <c r="D647" s="6"/>
      <c r="E647" s="18"/>
      <c r="F647" s="17"/>
      <c r="G647" s="6"/>
      <c r="H647" s="18"/>
      <c r="I647" s="17"/>
      <c r="J647" s="6"/>
      <c r="K647" s="17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>
      <c r="A648" s="6"/>
      <c r="B648" s="110"/>
      <c r="C648" s="17"/>
      <c r="D648" s="6"/>
      <c r="E648" s="18"/>
      <c r="F648" s="17"/>
      <c r="G648" s="6"/>
      <c r="H648" s="18"/>
      <c r="I648" s="17"/>
      <c r="J648" s="6"/>
      <c r="K648" s="17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>
      <c r="A649" s="6"/>
      <c r="B649" s="110"/>
      <c r="C649" s="17"/>
      <c r="D649" s="6"/>
      <c r="E649" s="18"/>
      <c r="F649" s="17"/>
      <c r="G649" s="6"/>
      <c r="H649" s="18"/>
      <c r="I649" s="17"/>
      <c r="J649" s="6"/>
      <c r="K649" s="17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>
      <c r="A650" s="6"/>
      <c r="B650" s="110"/>
      <c r="C650" s="17"/>
      <c r="D650" s="6"/>
      <c r="E650" s="18"/>
      <c r="F650" s="17"/>
      <c r="G650" s="6"/>
      <c r="H650" s="18"/>
      <c r="I650" s="17"/>
      <c r="J650" s="6"/>
      <c r="K650" s="17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>
      <c r="A651" s="6"/>
      <c r="B651" s="110"/>
      <c r="C651" s="17"/>
      <c r="D651" s="6"/>
      <c r="E651" s="18"/>
      <c r="F651" s="17"/>
      <c r="G651" s="6"/>
      <c r="H651" s="18"/>
      <c r="I651" s="17"/>
      <c r="J651" s="6"/>
      <c r="K651" s="17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>
      <c r="A652" s="6"/>
      <c r="B652" s="110"/>
      <c r="C652" s="17"/>
      <c r="D652" s="6"/>
      <c r="E652" s="18"/>
      <c r="F652" s="17"/>
      <c r="G652" s="6"/>
      <c r="H652" s="18"/>
      <c r="I652" s="17"/>
      <c r="J652" s="6"/>
      <c r="K652" s="17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>
      <c r="A653" s="6"/>
      <c r="B653" s="110"/>
      <c r="C653" s="17"/>
      <c r="D653" s="6"/>
      <c r="E653" s="18"/>
      <c r="F653" s="17"/>
      <c r="G653" s="6"/>
      <c r="H653" s="18"/>
      <c r="I653" s="17"/>
      <c r="J653" s="6"/>
      <c r="K653" s="17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>
      <c r="A654" s="6"/>
      <c r="B654" s="110"/>
      <c r="C654" s="17"/>
      <c r="D654" s="6"/>
      <c r="E654" s="18"/>
      <c r="F654" s="17"/>
      <c r="G654" s="6"/>
      <c r="H654" s="18"/>
      <c r="I654" s="17"/>
      <c r="J654" s="6"/>
      <c r="K654" s="17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>
      <c r="A655" s="6"/>
      <c r="B655" s="110"/>
      <c r="C655" s="17"/>
      <c r="D655" s="6"/>
      <c r="E655" s="18"/>
      <c r="F655" s="17"/>
      <c r="G655" s="6"/>
      <c r="H655" s="18"/>
      <c r="I655" s="17"/>
      <c r="J655" s="6"/>
      <c r="K655" s="17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>
      <c r="A656" s="6"/>
      <c r="B656" s="110"/>
      <c r="C656" s="17"/>
      <c r="D656" s="6"/>
      <c r="E656" s="18"/>
      <c r="F656" s="17"/>
      <c r="G656" s="6"/>
      <c r="H656" s="18"/>
      <c r="I656" s="17"/>
      <c r="J656" s="6"/>
      <c r="K656" s="17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>
      <c r="A657" s="6"/>
      <c r="B657" s="110"/>
      <c r="C657" s="17"/>
      <c r="D657" s="6"/>
      <c r="E657" s="18"/>
      <c r="F657" s="17"/>
      <c r="G657" s="6"/>
      <c r="H657" s="18"/>
      <c r="I657" s="17"/>
      <c r="J657" s="6"/>
      <c r="K657" s="17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>
      <c r="A658" s="6"/>
      <c r="B658" s="110"/>
      <c r="C658" s="17"/>
      <c r="D658" s="6"/>
      <c r="E658" s="18"/>
      <c r="F658" s="17"/>
      <c r="G658" s="6"/>
      <c r="H658" s="18"/>
      <c r="I658" s="17"/>
      <c r="J658" s="6"/>
      <c r="K658" s="17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>
      <c r="A659" s="6"/>
      <c r="B659" s="110"/>
      <c r="C659" s="17"/>
      <c r="D659" s="6"/>
      <c r="E659" s="18"/>
      <c r="F659" s="17"/>
      <c r="G659" s="6"/>
      <c r="H659" s="18"/>
      <c r="I659" s="17"/>
      <c r="J659" s="6"/>
      <c r="K659" s="17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>
      <c r="A660" s="6"/>
      <c r="B660" s="110"/>
      <c r="C660" s="17"/>
      <c r="D660" s="6"/>
      <c r="E660" s="18"/>
      <c r="F660" s="17"/>
      <c r="G660" s="6"/>
      <c r="H660" s="18"/>
      <c r="I660" s="17"/>
      <c r="J660" s="6"/>
      <c r="K660" s="17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>
      <c r="A661" s="6"/>
      <c r="B661" s="110"/>
      <c r="C661" s="17"/>
      <c r="D661" s="6"/>
      <c r="E661" s="18"/>
      <c r="F661" s="17"/>
      <c r="G661" s="6"/>
      <c r="H661" s="18"/>
      <c r="I661" s="17"/>
      <c r="J661" s="6"/>
      <c r="K661" s="17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>
      <c r="A662" s="6"/>
      <c r="B662" s="110"/>
      <c r="C662" s="17"/>
      <c r="D662" s="6"/>
      <c r="E662" s="18"/>
      <c r="F662" s="17"/>
      <c r="G662" s="6"/>
      <c r="H662" s="18"/>
      <c r="I662" s="17"/>
      <c r="J662" s="6"/>
      <c r="K662" s="17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>
      <c r="A663" s="6"/>
      <c r="B663" s="110"/>
      <c r="C663" s="17"/>
      <c r="D663" s="6"/>
      <c r="E663" s="18"/>
      <c r="F663" s="17"/>
      <c r="G663" s="6"/>
      <c r="H663" s="18"/>
      <c r="I663" s="17"/>
      <c r="J663" s="6"/>
      <c r="K663" s="17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>
      <c r="A664" s="6"/>
      <c r="B664" s="110"/>
      <c r="C664" s="17"/>
      <c r="D664" s="6"/>
      <c r="E664" s="18"/>
      <c r="F664" s="17"/>
      <c r="G664" s="6"/>
      <c r="H664" s="18"/>
      <c r="I664" s="17"/>
      <c r="J664" s="6"/>
      <c r="K664" s="17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>
      <c r="A665" s="6"/>
      <c r="B665" s="110"/>
      <c r="C665" s="17"/>
      <c r="D665" s="6"/>
      <c r="E665" s="18"/>
      <c r="F665" s="17"/>
      <c r="G665" s="6"/>
      <c r="H665" s="18"/>
      <c r="I665" s="17"/>
      <c r="J665" s="6"/>
      <c r="K665" s="17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>
      <c r="A666" s="6"/>
      <c r="B666" s="110"/>
      <c r="C666" s="17"/>
      <c r="D666" s="6"/>
      <c r="E666" s="18"/>
      <c r="F666" s="17"/>
      <c r="G666" s="6"/>
      <c r="H666" s="18"/>
      <c r="I666" s="17"/>
      <c r="J666" s="6"/>
      <c r="K666" s="17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>
      <c r="A667" s="6"/>
      <c r="B667" s="110"/>
      <c r="C667" s="17"/>
      <c r="D667" s="6"/>
      <c r="E667" s="18"/>
      <c r="F667" s="17"/>
      <c r="G667" s="6"/>
      <c r="H667" s="18"/>
      <c r="I667" s="17"/>
      <c r="J667" s="6"/>
      <c r="K667" s="17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>
      <c r="A668" s="6"/>
      <c r="B668" s="110"/>
      <c r="C668" s="17"/>
      <c r="D668" s="6"/>
      <c r="E668" s="18"/>
      <c r="F668" s="17"/>
      <c r="G668" s="6"/>
      <c r="H668" s="18"/>
      <c r="I668" s="17"/>
      <c r="J668" s="6"/>
      <c r="K668" s="17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>
      <c r="A669" s="6"/>
      <c r="B669" s="110"/>
      <c r="C669" s="17"/>
      <c r="D669" s="6"/>
      <c r="E669" s="18"/>
      <c r="F669" s="17"/>
      <c r="G669" s="6"/>
      <c r="H669" s="18"/>
      <c r="I669" s="17"/>
      <c r="J669" s="6"/>
      <c r="K669" s="17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>
      <c r="A670" s="6"/>
      <c r="B670" s="110"/>
      <c r="C670" s="17"/>
      <c r="D670" s="6"/>
      <c r="E670" s="18"/>
      <c r="F670" s="17"/>
      <c r="G670" s="6"/>
      <c r="H670" s="18"/>
      <c r="I670" s="17"/>
      <c r="J670" s="6"/>
      <c r="K670" s="17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>
      <c r="A671" s="6"/>
      <c r="B671" s="110"/>
      <c r="C671" s="17"/>
      <c r="D671" s="6"/>
      <c r="E671" s="18"/>
      <c r="F671" s="17"/>
      <c r="G671" s="6"/>
      <c r="H671" s="18"/>
      <c r="I671" s="17"/>
      <c r="J671" s="6"/>
      <c r="K671" s="17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>
      <c r="A672" s="6"/>
      <c r="B672" s="110"/>
      <c r="C672" s="17"/>
      <c r="D672" s="6"/>
      <c r="E672" s="18"/>
      <c r="F672" s="17"/>
      <c r="G672" s="6"/>
      <c r="H672" s="18"/>
      <c r="I672" s="17"/>
      <c r="J672" s="6"/>
      <c r="K672" s="17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>
      <c r="A673" s="6"/>
      <c r="B673" s="110"/>
      <c r="C673" s="17"/>
      <c r="D673" s="6"/>
      <c r="E673" s="18"/>
      <c r="F673" s="17"/>
      <c r="G673" s="6"/>
      <c r="H673" s="18"/>
      <c r="I673" s="17"/>
      <c r="J673" s="6"/>
      <c r="K673" s="17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>
      <c r="A674" s="6"/>
      <c r="B674" s="110"/>
      <c r="C674" s="17"/>
      <c r="D674" s="6"/>
      <c r="E674" s="18"/>
      <c r="F674" s="17"/>
      <c r="G674" s="6"/>
      <c r="H674" s="18"/>
      <c r="I674" s="17"/>
      <c r="J674" s="6"/>
      <c r="K674" s="17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>
      <c r="A675" s="6"/>
      <c r="B675" s="110"/>
      <c r="C675" s="17"/>
      <c r="D675" s="6"/>
      <c r="E675" s="18"/>
      <c r="F675" s="17"/>
      <c r="G675" s="6"/>
      <c r="H675" s="18"/>
      <c r="I675" s="17"/>
      <c r="J675" s="6"/>
      <c r="K675" s="17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>
      <c r="A676" s="6"/>
      <c r="B676" s="110"/>
      <c r="C676" s="17"/>
      <c r="D676" s="6"/>
      <c r="E676" s="18"/>
      <c r="F676" s="17"/>
      <c r="G676" s="6"/>
      <c r="H676" s="18"/>
      <c r="I676" s="17"/>
      <c r="J676" s="6"/>
      <c r="K676" s="17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>
      <c r="A677" s="6"/>
      <c r="B677" s="110"/>
      <c r="C677" s="17"/>
      <c r="D677" s="6"/>
      <c r="E677" s="18"/>
      <c r="F677" s="17"/>
      <c r="G677" s="6"/>
      <c r="H677" s="18"/>
      <c r="I677" s="17"/>
      <c r="J677" s="6"/>
      <c r="K677" s="17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>
      <c r="A678" s="6"/>
      <c r="B678" s="110"/>
      <c r="C678" s="17"/>
      <c r="D678" s="6"/>
      <c r="E678" s="18"/>
      <c r="F678" s="17"/>
      <c r="G678" s="6"/>
      <c r="H678" s="18"/>
      <c r="I678" s="17"/>
      <c r="J678" s="6"/>
      <c r="K678" s="17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>
      <c r="A679" s="6"/>
      <c r="B679" s="110"/>
      <c r="C679" s="17"/>
      <c r="D679" s="6"/>
      <c r="E679" s="18"/>
      <c r="F679" s="17"/>
      <c r="G679" s="6"/>
      <c r="H679" s="18"/>
      <c r="I679" s="17"/>
      <c r="J679" s="6"/>
      <c r="K679" s="17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>
      <c r="A680" s="6"/>
      <c r="B680" s="110"/>
      <c r="C680" s="17"/>
      <c r="D680" s="6"/>
      <c r="E680" s="18"/>
      <c r="F680" s="17"/>
      <c r="G680" s="6"/>
      <c r="H680" s="18"/>
      <c r="I680" s="17"/>
      <c r="J680" s="6"/>
      <c r="K680" s="17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>
      <c r="A681" s="6"/>
      <c r="B681" s="110"/>
      <c r="C681" s="17"/>
      <c r="D681" s="6"/>
      <c r="E681" s="18"/>
      <c r="F681" s="17"/>
      <c r="G681" s="6"/>
      <c r="H681" s="18"/>
      <c r="I681" s="17"/>
      <c r="J681" s="6"/>
      <c r="K681" s="17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>
      <c r="A682" s="6"/>
      <c r="B682" s="110"/>
      <c r="C682" s="17"/>
      <c r="D682" s="6"/>
      <c r="E682" s="18"/>
      <c r="F682" s="17"/>
      <c r="G682" s="6"/>
      <c r="H682" s="18"/>
      <c r="I682" s="17"/>
      <c r="J682" s="6"/>
      <c r="K682" s="17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>
      <c r="A683" s="6"/>
      <c r="B683" s="110"/>
      <c r="C683" s="17"/>
      <c r="D683" s="6"/>
      <c r="E683" s="18"/>
      <c r="F683" s="17"/>
      <c r="G683" s="6"/>
      <c r="H683" s="18"/>
      <c r="I683" s="17"/>
      <c r="J683" s="6"/>
      <c r="K683" s="17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>
      <c r="A684" s="6"/>
      <c r="B684" s="110"/>
      <c r="C684" s="17"/>
      <c r="D684" s="6"/>
      <c r="E684" s="18"/>
      <c r="F684" s="17"/>
      <c r="G684" s="6"/>
      <c r="H684" s="18"/>
      <c r="I684" s="17"/>
      <c r="J684" s="6"/>
      <c r="K684" s="17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>
      <c r="A685" s="6"/>
      <c r="B685" s="110"/>
      <c r="C685" s="17"/>
      <c r="D685" s="6"/>
      <c r="E685" s="18"/>
      <c r="F685" s="17"/>
      <c r="G685" s="6"/>
      <c r="H685" s="18"/>
      <c r="I685" s="17"/>
      <c r="J685" s="6"/>
      <c r="K685" s="17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>
      <c r="A686" s="6"/>
      <c r="B686" s="110"/>
      <c r="C686" s="17"/>
      <c r="D686" s="6"/>
      <c r="E686" s="18"/>
      <c r="F686" s="17"/>
      <c r="G686" s="6"/>
      <c r="H686" s="18"/>
      <c r="I686" s="17"/>
      <c r="J686" s="6"/>
      <c r="K686" s="17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>
      <c r="A687" s="6"/>
      <c r="B687" s="110"/>
      <c r="C687" s="17"/>
      <c r="D687" s="6"/>
      <c r="E687" s="18"/>
      <c r="F687" s="17"/>
      <c r="G687" s="6"/>
      <c r="H687" s="18"/>
      <c r="I687" s="17"/>
      <c r="J687" s="6"/>
      <c r="K687" s="17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>
      <c r="A688" s="6"/>
      <c r="B688" s="110"/>
      <c r="C688" s="17"/>
      <c r="D688" s="6"/>
      <c r="E688" s="18"/>
      <c r="F688" s="17"/>
      <c r="G688" s="6"/>
      <c r="H688" s="18"/>
      <c r="I688" s="17"/>
      <c r="J688" s="6"/>
      <c r="K688" s="17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>
      <c r="A689" s="6"/>
      <c r="B689" s="110"/>
      <c r="C689" s="17"/>
      <c r="D689" s="6"/>
      <c r="E689" s="18"/>
      <c r="F689" s="17"/>
      <c r="G689" s="6"/>
      <c r="H689" s="18"/>
      <c r="I689" s="17"/>
      <c r="J689" s="6"/>
      <c r="K689" s="17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>
      <c r="A690" s="6"/>
      <c r="B690" s="110"/>
      <c r="C690" s="17"/>
      <c r="D690" s="6"/>
      <c r="E690" s="18"/>
      <c r="F690" s="17"/>
      <c r="G690" s="6"/>
      <c r="H690" s="18"/>
      <c r="I690" s="17"/>
      <c r="J690" s="6"/>
      <c r="K690" s="17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>
      <c r="A691" s="6"/>
      <c r="B691" s="110"/>
      <c r="C691" s="17"/>
      <c r="D691" s="6"/>
      <c r="E691" s="18"/>
      <c r="F691" s="17"/>
      <c r="G691" s="6"/>
      <c r="H691" s="18"/>
      <c r="I691" s="17"/>
      <c r="J691" s="6"/>
      <c r="K691" s="17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>
      <c r="A692" s="6"/>
      <c r="B692" s="110"/>
      <c r="C692" s="17"/>
      <c r="D692" s="6"/>
      <c r="E692" s="18"/>
      <c r="F692" s="17"/>
      <c r="G692" s="6"/>
      <c r="H692" s="18"/>
      <c r="I692" s="17"/>
      <c r="J692" s="6"/>
      <c r="K692" s="17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>
      <c r="A693" s="6"/>
      <c r="B693" s="110"/>
      <c r="C693" s="17"/>
      <c r="D693" s="6"/>
      <c r="E693" s="18"/>
      <c r="F693" s="17"/>
      <c r="G693" s="6"/>
      <c r="H693" s="18"/>
      <c r="I693" s="17"/>
      <c r="J693" s="6"/>
      <c r="K693" s="17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>
      <c r="A694" s="6"/>
      <c r="B694" s="110"/>
      <c r="C694" s="17"/>
      <c r="D694" s="6"/>
      <c r="E694" s="18"/>
      <c r="F694" s="17"/>
      <c r="G694" s="6"/>
      <c r="H694" s="18"/>
      <c r="I694" s="17"/>
      <c r="J694" s="6"/>
      <c r="K694" s="17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>
      <c r="A695" s="6"/>
      <c r="B695" s="110"/>
      <c r="C695" s="17"/>
      <c r="D695" s="6"/>
      <c r="E695" s="18"/>
      <c r="F695" s="17"/>
      <c r="G695" s="6"/>
      <c r="H695" s="18"/>
      <c r="I695" s="17"/>
      <c r="J695" s="6"/>
      <c r="K695" s="17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>
      <c r="A696" s="6"/>
      <c r="B696" s="110"/>
      <c r="C696" s="17"/>
      <c r="D696" s="6"/>
      <c r="E696" s="18"/>
      <c r="F696" s="17"/>
      <c r="G696" s="6"/>
      <c r="H696" s="18"/>
      <c r="I696" s="17"/>
      <c r="J696" s="6"/>
      <c r="K696" s="17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>
      <c r="A697" s="6"/>
      <c r="B697" s="110"/>
      <c r="C697" s="17"/>
      <c r="D697" s="6"/>
      <c r="E697" s="18"/>
      <c r="F697" s="17"/>
      <c r="G697" s="6"/>
      <c r="H697" s="18"/>
      <c r="I697" s="17"/>
      <c r="J697" s="6"/>
      <c r="K697" s="17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>
      <c r="A698" s="6"/>
      <c r="B698" s="110"/>
      <c r="C698" s="17"/>
      <c r="D698" s="6"/>
      <c r="E698" s="18"/>
      <c r="F698" s="17"/>
      <c r="G698" s="6"/>
      <c r="H698" s="18"/>
      <c r="I698" s="17"/>
      <c r="J698" s="6"/>
      <c r="K698" s="17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>
      <c r="A699" s="6"/>
      <c r="B699" s="110"/>
      <c r="C699" s="17"/>
      <c r="D699" s="6"/>
      <c r="E699" s="18"/>
      <c r="F699" s="17"/>
      <c r="G699" s="6"/>
      <c r="H699" s="18"/>
      <c r="I699" s="17"/>
      <c r="J699" s="6"/>
      <c r="K699" s="17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>
      <c r="A700" s="6"/>
      <c r="B700" s="110"/>
      <c r="C700" s="17"/>
      <c r="D700" s="6"/>
      <c r="E700" s="18"/>
      <c r="F700" s="17"/>
      <c r="G700" s="6"/>
      <c r="H700" s="18"/>
      <c r="I700" s="17"/>
      <c r="J700" s="6"/>
      <c r="K700" s="17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>
      <c r="A701" s="6"/>
      <c r="B701" s="110"/>
      <c r="C701" s="17"/>
      <c r="D701" s="6"/>
      <c r="E701" s="18"/>
      <c r="F701" s="17"/>
      <c r="G701" s="6"/>
      <c r="H701" s="18"/>
      <c r="I701" s="17"/>
      <c r="J701" s="6"/>
      <c r="K701" s="17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>
      <c r="A702" s="6"/>
      <c r="B702" s="110"/>
      <c r="C702" s="17"/>
      <c r="D702" s="6"/>
      <c r="E702" s="18"/>
      <c r="F702" s="17"/>
      <c r="G702" s="6"/>
      <c r="H702" s="18"/>
      <c r="I702" s="17"/>
      <c r="J702" s="6"/>
      <c r="K702" s="17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>
      <c r="A703" s="6"/>
      <c r="B703" s="110"/>
      <c r="C703" s="17"/>
      <c r="D703" s="6"/>
      <c r="E703" s="18"/>
      <c r="F703" s="17"/>
      <c r="G703" s="6"/>
      <c r="H703" s="18"/>
      <c r="I703" s="17"/>
      <c r="J703" s="6"/>
      <c r="K703" s="17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>
      <c r="A704" s="6"/>
      <c r="B704" s="110"/>
      <c r="C704" s="17"/>
      <c r="D704" s="6"/>
      <c r="E704" s="18"/>
      <c r="F704" s="17"/>
      <c r="G704" s="6"/>
      <c r="H704" s="18"/>
      <c r="I704" s="17"/>
      <c r="J704" s="6"/>
      <c r="K704" s="17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>
      <c r="A705" s="6"/>
      <c r="B705" s="110"/>
      <c r="C705" s="17"/>
      <c r="D705" s="6"/>
      <c r="E705" s="18"/>
      <c r="F705" s="17"/>
      <c r="G705" s="6"/>
      <c r="H705" s="18"/>
      <c r="I705" s="17"/>
      <c r="J705" s="6"/>
      <c r="K705" s="17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>
      <c r="A706" s="6"/>
      <c r="B706" s="110"/>
      <c r="C706" s="17"/>
      <c r="D706" s="6"/>
      <c r="E706" s="18"/>
      <c r="F706" s="17"/>
      <c r="G706" s="6"/>
      <c r="H706" s="18"/>
      <c r="I706" s="17"/>
      <c r="J706" s="6"/>
      <c r="K706" s="17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>
      <c r="A707" s="6"/>
      <c r="B707" s="110"/>
      <c r="C707" s="17"/>
      <c r="D707" s="6"/>
      <c r="E707" s="18"/>
      <c r="F707" s="17"/>
      <c r="G707" s="6"/>
      <c r="H707" s="18"/>
      <c r="I707" s="17"/>
      <c r="J707" s="6"/>
      <c r="K707" s="17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>
      <c r="A708" s="6"/>
      <c r="B708" s="110"/>
      <c r="C708" s="17"/>
      <c r="D708" s="6"/>
      <c r="E708" s="18"/>
      <c r="F708" s="17"/>
      <c r="G708" s="6"/>
      <c r="H708" s="18"/>
      <c r="I708" s="17"/>
      <c r="J708" s="6"/>
      <c r="K708" s="17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>
      <c r="A709" s="6"/>
      <c r="B709" s="110"/>
      <c r="C709" s="17"/>
      <c r="D709" s="6"/>
      <c r="E709" s="18"/>
      <c r="F709" s="17"/>
      <c r="G709" s="6"/>
      <c r="H709" s="18"/>
      <c r="I709" s="17"/>
      <c r="J709" s="6"/>
      <c r="K709" s="17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>
      <c r="A710" s="6"/>
      <c r="B710" s="110"/>
      <c r="C710" s="17"/>
      <c r="D710" s="6"/>
      <c r="E710" s="18"/>
      <c r="F710" s="17"/>
      <c r="G710" s="6"/>
      <c r="H710" s="18"/>
      <c r="I710" s="17"/>
      <c r="J710" s="6"/>
      <c r="K710" s="17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>
      <c r="A711" s="6"/>
      <c r="B711" s="110"/>
      <c r="C711" s="17"/>
      <c r="D711" s="6"/>
      <c r="E711" s="18"/>
      <c r="F711" s="17"/>
      <c r="G711" s="6"/>
      <c r="H711" s="18"/>
      <c r="I711" s="17"/>
      <c r="J711" s="6"/>
      <c r="K711" s="17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>
      <c r="A712" s="6"/>
      <c r="B712" s="110"/>
      <c r="C712" s="17"/>
      <c r="D712" s="6"/>
      <c r="E712" s="18"/>
      <c r="F712" s="17"/>
      <c r="G712" s="6"/>
      <c r="H712" s="18"/>
      <c r="I712" s="17"/>
      <c r="J712" s="6"/>
      <c r="K712" s="17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>
      <c r="A713" s="6"/>
      <c r="B713" s="110"/>
      <c r="C713" s="17"/>
      <c r="D713" s="6"/>
      <c r="E713" s="18"/>
      <c r="F713" s="17"/>
      <c r="G713" s="6"/>
      <c r="H713" s="18"/>
      <c r="I713" s="17"/>
      <c r="J713" s="6"/>
      <c r="K713" s="17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>
      <c r="A714" s="6"/>
      <c r="B714" s="110"/>
      <c r="C714" s="17"/>
      <c r="D714" s="6"/>
      <c r="E714" s="18"/>
      <c r="F714" s="17"/>
      <c r="G714" s="6"/>
      <c r="H714" s="18"/>
      <c r="I714" s="17"/>
      <c r="J714" s="6"/>
      <c r="K714" s="17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>
      <c r="A715" s="6"/>
      <c r="B715" s="110"/>
      <c r="C715" s="17"/>
      <c r="D715" s="6"/>
      <c r="E715" s="18"/>
      <c r="F715" s="17"/>
      <c r="G715" s="6"/>
      <c r="H715" s="18"/>
      <c r="I715" s="17"/>
      <c r="J715" s="6"/>
      <c r="K715" s="17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>
      <c r="A716" s="6"/>
      <c r="B716" s="110"/>
      <c r="C716" s="17"/>
      <c r="D716" s="6"/>
      <c r="E716" s="18"/>
      <c r="F716" s="17"/>
      <c r="G716" s="6"/>
      <c r="H716" s="18"/>
      <c r="I716" s="17"/>
      <c r="J716" s="6"/>
      <c r="K716" s="17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>
      <c r="A717" s="6"/>
      <c r="B717" s="110"/>
      <c r="C717" s="17"/>
      <c r="D717" s="6"/>
      <c r="E717" s="18"/>
      <c r="F717" s="17"/>
      <c r="G717" s="6"/>
      <c r="H717" s="18"/>
      <c r="I717" s="17"/>
      <c r="J717" s="6"/>
      <c r="K717" s="17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>
      <c r="A718" s="6"/>
      <c r="B718" s="110"/>
      <c r="C718" s="17"/>
      <c r="D718" s="6"/>
      <c r="E718" s="18"/>
      <c r="F718" s="17"/>
      <c r="G718" s="6"/>
      <c r="H718" s="18"/>
      <c r="I718" s="17"/>
      <c r="J718" s="6"/>
      <c r="K718" s="17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>
      <c r="A719" s="6"/>
      <c r="B719" s="110"/>
      <c r="C719" s="17"/>
      <c r="D719" s="6"/>
      <c r="E719" s="18"/>
      <c r="F719" s="17"/>
      <c r="G719" s="6"/>
      <c r="H719" s="18"/>
      <c r="I719" s="17"/>
      <c r="J719" s="6"/>
      <c r="K719" s="17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>
      <c r="A720" s="6"/>
      <c r="B720" s="110"/>
      <c r="C720" s="17"/>
      <c r="D720" s="6"/>
      <c r="E720" s="18"/>
      <c r="F720" s="17"/>
      <c r="G720" s="6"/>
      <c r="H720" s="18"/>
      <c r="I720" s="17"/>
      <c r="J720" s="6"/>
      <c r="K720" s="17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>
      <c r="A721" s="6"/>
      <c r="B721" s="110"/>
      <c r="C721" s="17"/>
      <c r="D721" s="6"/>
      <c r="E721" s="18"/>
      <c r="F721" s="17"/>
      <c r="G721" s="6"/>
      <c r="H721" s="18"/>
      <c r="I721" s="17"/>
      <c r="J721" s="6"/>
      <c r="K721" s="17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>
      <c r="A722" s="6"/>
      <c r="B722" s="110"/>
      <c r="C722" s="17"/>
      <c r="D722" s="6"/>
      <c r="E722" s="18"/>
      <c r="F722" s="17"/>
      <c r="G722" s="6"/>
      <c r="H722" s="18"/>
      <c r="I722" s="17"/>
      <c r="J722" s="6"/>
      <c r="K722" s="17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>
      <c r="A723" s="6"/>
      <c r="B723" s="110"/>
      <c r="C723" s="17"/>
      <c r="D723" s="6"/>
      <c r="E723" s="18"/>
      <c r="F723" s="17"/>
      <c r="G723" s="6"/>
      <c r="H723" s="18"/>
      <c r="I723" s="17"/>
      <c r="J723" s="6"/>
      <c r="K723" s="17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>
      <c r="A724" s="6"/>
      <c r="B724" s="110"/>
      <c r="C724" s="17"/>
      <c r="D724" s="6"/>
      <c r="E724" s="18"/>
      <c r="F724" s="17"/>
      <c r="G724" s="6"/>
      <c r="H724" s="18"/>
      <c r="I724" s="17"/>
      <c r="J724" s="6"/>
      <c r="K724" s="17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>
      <c r="A725" s="6"/>
      <c r="B725" s="110"/>
      <c r="C725" s="17"/>
      <c r="D725" s="6"/>
      <c r="E725" s="18"/>
      <c r="F725" s="17"/>
      <c r="G725" s="6"/>
      <c r="H725" s="18"/>
      <c r="I725" s="17"/>
      <c r="J725" s="6"/>
      <c r="K725" s="17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>
      <c r="A726" s="6"/>
      <c r="B726" s="110"/>
      <c r="C726" s="17"/>
      <c r="D726" s="6"/>
      <c r="E726" s="18"/>
      <c r="F726" s="17"/>
      <c r="G726" s="6"/>
      <c r="H726" s="18"/>
      <c r="I726" s="17"/>
      <c r="J726" s="6"/>
      <c r="K726" s="17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>
      <c r="A727" s="6"/>
      <c r="B727" s="110"/>
      <c r="C727" s="17"/>
      <c r="D727" s="6"/>
      <c r="E727" s="18"/>
      <c r="F727" s="17"/>
      <c r="G727" s="6"/>
      <c r="H727" s="18"/>
      <c r="I727" s="17"/>
      <c r="J727" s="6"/>
      <c r="K727" s="17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>
      <c r="A728" s="6"/>
      <c r="B728" s="110"/>
      <c r="C728" s="17"/>
      <c r="D728" s="6"/>
      <c r="E728" s="18"/>
      <c r="F728" s="17"/>
      <c r="G728" s="6"/>
      <c r="H728" s="18"/>
      <c r="I728" s="17"/>
      <c r="J728" s="6"/>
      <c r="K728" s="17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>
      <c r="A729" s="6"/>
      <c r="B729" s="110"/>
      <c r="C729" s="17"/>
      <c r="D729" s="6"/>
      <c r="E729" s="18"/>
      <c r="F729" s="17"/>
      <c r="G729" s="6"/>
      <c r="H729" s="18"/>
      <c r="I729" s="17"/>
      <c r="J729" s="6"/>
      <c r="K729" s="17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>
      <c r="A730" s="6"/>
      <c r="B730" s="110"/>
      <c r="C730" s="17"/>
      <c r="D730" s="6"/>
      <c r="E730" s="18"/>
      <c r="F730" s="17"/>
      <c r="G730" s="6"/>
      <c r="H730" s="18"/>
      <c r="I730" s="17"/>
      <c r="J730" s="6"/>
      <c r="K730" s="17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>
      <c r="A731" s="6"/>
      <c r="B731" s="110"/>
      <c r="C731" s="17"/>
      <c r="D731" s="6"/>
      <c r="E731" s="18"/>
      <c r="F731" s="17"/>
      <c r="G731" s="6"/>
      <c r="H731" s="18"/>
      <c r="I731" s="17"/>
      <c r="J731" s="6"/>
      <c r="K731" s="17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>
      <c r="A732" s="6"/>
      <c r="B732" s="110"/>
      <c r="C732" s="17"/>
      <c r="D732" s="6"/>
      <c r="E732" s="18"/>
      <c r="F732" s="17"/>
      <c r="G732" s="6"/>
      <c r="H732" s="18"/>
      <c r="I732" s="17"/>
      <c r="J732" s="6"/>
      <c r="K732" s="17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>
      <c r="A733" s="6"/>
      <c r="B733" s="110"/>
      <c r="C733" s="17"/>
      <c r="D733" s="6"/>
      <c r="E733" s="18"/>
      <c r="F733" s="17"/>
      <c r="G733" s="6"/>
      <c r="H733" s="18"/>
      <c r="I733" s="17"/>
      <c r="J733" s="6"/>
      <c r="K733" s="17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>
      <c r="A734" s="6"/>
      <c r="B734" s="110"/>
      <c r="C734" s="17"/>
      <c r="D734" s="6"/>
      <c r="E734" s="18"/>
      <c r="F734" s="17"/>
      <c r="G734" s="6"/>
      <c r="H734" s="18"/>
      <c r="I734" s="17"/>
      <c r="J734" s="6"/>
      <c r="K734" s="17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>
      <c r="A735" s="6"/>
      <c r="B735" s="110"/>
      <c r="C735" s="17"/>
      <c r="D735" s="6"/>
      <c r="E735" s="18"/>
      <c r="F735" s="17"/>
      <c r="G735" s="6"/>
      <c r="H735" s="18"/>
      <c r="I735" s="17"/>
      <c r="J735" s="6"/>
      <c r="K735" s="17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>
      <c r="A736" s="6"/>
      <c r="B736" s="110"/>
      <c r="C736" s="17"/>
      <c r="D736" s="6"/>
      <c r="E736" s="18"/>
      <c r="F736" s="17"/>
      <c r="G736" s="6"/>
      <c r="H736" s="18"/>
      <c r="I736" s="17"/>
      <c r="J736" s="6"/>
      <c r="K736" s="17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>
      <c r="A737" s="6"/>
      <c r="B737" s="110"/>
      <c r="C737" s="17"/>
      <c r="D737" s="6"/>
      <c r="E737" s="18"/>
      <c r="F737" s="17"/>
      <c r="G737" s="6"/>
      <c r="H737" s="18"/>
      <c r="I737" s="17"/>
      <c r="J737" s="6"/>
      <c r="K737" s="17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>
      <c r="A738" s="6"/>
      <c r="B738" s="110"/>
      <c r="C738" s="17"/>
      <c r="D738" s="6"/>
      <c r="E738" s="18"/>
      <c r="F738" s="17"/>
      <c r="G738" s="6"/>
      <c r="H738" s="18"/>
      <c r="I738" s="17"/>
      <c r="J738" s="6"/>
      <c r="K738" s="17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>
      <c r="A739" s="6"/>
      <c r="B739" s="110"/>
      <c r="C739" s="17"/>
      <c r="D739" s="6"/>
      <c r="E739" s="18"/>
      <c r="F739" s="17"/>
      <c r="G739" s="6"/>
      <c r="H739" s="18"/>
      <c r="I739" s="17"/>
      <c r="J739" s="6"/>
      <c r="K739" s="17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>
      <c r="A740" s="6"/>
      <c r="B740" s="110"/>
      <c r="C740" s="17"/>
      <c r="D740" s="6"/>
      <c r="E740" s="18"/>
      <c r="F740" s="17"/>
      <c r="G740" s="6"/>
      <c r="H740" s="18"/>
      <c r="I740" s="17"/>
      <c r="J740" s="6"/>
      <c r="K740" s="17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>
      <c r="A741" s="6"/>
      <c r="B741" s="110"/>
      <c r="C741" s="17"/>
      <c r="D741" s="6"/>
      <c r="E741" s="18"/>
      <c r="F741" s="17"/>
      <c r="G741" s="6"/>
      <c r="H741" s="18"/>
      <c r="I741" s="17"/>
      <c r="J741" s="6"/>
      <c r="K741" s="17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>
      <c r="A742" s="6"/>
      <c r="B742" s="110"/>
      <c r="C742" s="17"/>
      <c r="D742" s="6"/>
      <c r="E742" s="18"/>
      <c r="F742" s="17"/>
      <c r="G742" s="6"/>
      <c r="H742" s="18"/>
      <c r="I742" s="17"/>
      <c r="J742" s="6"/>
      <c r="K742" s="17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>
      <c r="A743" s="6"/>
      <c r="B743" s="110"/>
      <c r="C743" s="17"/>
      <c r="D743" s="6"/>
      <c r="E743" s="18"/>
      <c r="F743" s="17"/>
      <c r="G743" s="6"/>
      <c r="H743" s="18"/>
      <c r="I743" s="17"/>
      <c r="J743" s="6"/>
      <c r="K743" s="17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>
      <c r="A744" s="6"/>
      <c r="B744" s="110"/>
      <c r="C744" s="17"/>
      <c r="D744" s="6"/>
      <c r="E744" s="18"/>
      <c r="F744" s="17"/>
      <c r="G744" s="6"/>
      <c r="H744" s="18"/>
      <c r="I744" s="17"/>
      <c r="J744" s="6"/>
      <c r="K744" s="17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>
      <c r="A745" s="6"/>
      <c r="B745" s="110"/>
      <c r="C745" s="17"/>
      <c r="D745" s="6"/>
      <c r="E745" s="18"/>
      <c r="F745" s="17"/>
      <c r="G745" s="6"/>
      <c r="H745" s="18"/>
      <c r="I745" s="17"/>
      <c r="J745" s="6"/>
      <c r="K745" s="17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>
      <c r="A746" s="6"/>
      <c r="B746" s="110"/>
      <c r="C746" s="17"/>
      <c r="D746" s="6"/>
      <c r="E746" s="18"/>
      <c r="F746" s="17"/>
      <c r="G746" s="6"/>
      <c r="H746" s="18"/>
      <c r="I746" s="17"/>
      <c r="J746" s="6"/>
      <c r="K746" s="17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>
      <c r="A747" s="6"/>
      <c r="B747" s="110"/>
      <c r="C747" s="17"/>
      <c r="D747" s="6"/>
      <c r="E747" s="18"/>
      <c r="F747" s="17"/>
      <c r="G747" s="6"/>
      <c r="H747" s="18"/>
      <c r="I747" s="17"/>
      <c r="J747" s="6"/>
      <c r="K747" s="17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>
      <c r="A748" s="6"/>
      <c r="B748" s="110"/>
      <c r="C748" s="17"/>
      <c r="D748" s="6"/>
      <c r="E748" s="18"/>
      <c r="F748" s="17"/>
      <c r="G748" s="6"/>
      <c r="H748" s="18"/>
      <c r="I748" s="17"/>
      <c r="J748" s="6"/>
      <c r="K748" s="17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>
      <c r="A749" s="6"/>
      <c r="B749" s="110"/>
      <c r="C749" s="17"/>
      <c r="D749" s="6"/>
      <c r="E749" s="18"/>
      <c r="F749" s="17"/>
      <c r="G749" s="6"/>
      <c r="H749" s="18"/>
      <c r="I749" s="17"/>
      <c r="J749" s="6"/>
      <c r="K749" s="17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>
      <c r="A750" s="6"/>
      <c r="B750" s="110"/>
      <c r="C750" s="17"/>
      <c r="D750" s="6"/>
      <c r="E750" s="18"/>
      <c r="F750" s="17"/>
      <c r="G750" s="6"/>
      <c r="H750" s="18"/>
      <c r="I750" s="17"/>
      <c r="J750" s="6"/>
      <c r="K750" s="17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>
      <c r="A751" s="6"/>
      <c r="B751" s="110"/>
      <c r="C751" s="17"/>
      <c r="D751" s="6"/>
      <c r="E751" s="18"/>
      <c r="F751" s="17"/>
      <c r="G751" s="6"/>
      <c r="H751" s="18"/>
      <c r="I751" s="17"/>
      <c r="J751" s="6"/>
      <c r="K751" s="17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>
      <c r="A752" s="6"/>
      <c r="B752" s="110"/>
      <c r="C752" s="17"/>
      <c r="D752" s="6"/>
      <c r="E752" s="18"/>
      <c r="F752" s="17"/>
      <c r="G752" s="6"/>
      <c r="H752" s="18"/>
      <c r="I752" s="17"/>
      <c r="J752" s="6"/>
      <c r="K752" s="17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>
      <c r="A753" s="6"/>
      <c r="B753" s="110"/>
      <c r="C753" s="17"/>
      <c r="D753" s="6"/>
      <c r="E753" s="18"/>
      <c r="F753" s="17"/>
      <c r="G753" s="6"/>
      <c r="H753" s="18"/>
      <c r="I753" s="17"/>
      <c r="J753" s="6"/>
      <c r="K753" s="17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>
      <c r="A754" s="6"/>
      <c r="B754" s="110"/>
      <c r="C754" s="17"/>
      <c r="D754" s="6"/>
      <c r="E754" s="18"/>
      <c r="F754" s="17"/>
      <c r="G754" s="6"/>
      <c r="H754" s="18"/>
      <c r="I754" s="17"/>
      <c r="J754" s="6"/>
      <c r="K754" s="17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>
      <c r="A755" s="6"/>
      <c r="B755" s="110"/>
      <c r="C755" s="17"/>
      <c r="D755" s="6"/>
      <c r="E755" s="18"/>
      <c r="F755" s="17"/>
      <c r="G755" s="6"/>
      <c r="H755" s="18"/>
      <c r="I755" s="17"/>
      <c r="J755" s="6"/>
      <c r="K755" s="17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>
      <c r="A756" s="6"/>
      <c r="B756" s="110"/>
      <c r="C756" s="17"/>
      <c r="D756" s="6"/>
      <c r="E756" s="18"/>
      <c r="F756" s="17"/>
      <c r="G756" s="6"/>
      <c r="H756" s="18"/>
      <c r="I756" s="17"/>
      <c r="J756" s="6"/>
      <c r="K756" s="17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>
      <c r="A757" s="6"/>
      <c r="B757" s="110"/>
      <c r="C757" s="17"/>
      <c r="D757" s="6"/>
      <c r="E757" s="18"/>
      <c r="F757" s="17"/>
      <c r="G757" s="6"/>
      <c r="H757" s="18"/>
      <c r="I757" s="17"/>
      <c r="J757" s="6"/>
      <c r="K757" s="17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>
      <c r="A758" s="6"/>
      <c r="B758" s="110"/>
      <c r="C758" s="17"/>
      <c r="D758" s="6"/>
      <c r="E758" s="18"/>
      <c r="F758" s="17"/>
      <c r="G758" s="6"/>
      <c r="H758" s="18"/>
      <c r="I758" s="17"/>
      <c r="J758" s="6"/>
      <c r="K758" s="17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>
      <c r="A759" s="6"/>
      <c r="B759" s="110"/>
      <c r="C759" s="17"/>
      <c r="D759" s="6"/>
      <c r="E759" s="18"/>
      <c r="F759" s="17"/>
      <c r="G759" s="6"/>
      <c r="H759" s="18"/>
      <c r="I759" s="17"/>
      <c r="J759" s="6"/>
      <c r="K759" s="17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>
      <c r="A760" s="6"/>
      <c r="B760" s="110"/>
      <c r="C760" s="17"/>
      <c r="D760" s="6"/>
      <c r="E760" s="18"/>
      <c r="F760" s="17"/>
      <c r="G760" s="6"/>
      <c r="H760" s="18"/>
      <c r="I760" s="17"/>
      <c r="J760" s="6"/>
      <c r="K760" s="17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>
      <c r="A761" s="6"/>
      <c r="B761" s="110"/>
      <c r="C761" s="17"/>
      <c r="D761" s="6"/>
      <c r="E761" s="18"/>
      <c r="F761" s="17"/>
      <c r="G761" s="6"/>
      <c r="H761" s="18"/>
      <c r="I761" s="17"/>
      <c r="J761" s="6"/>
      <c r="K761" s="17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>
      <c r="A762" s="6"/>
      <c r="B762" s="110"/>
      <c r="C762" s="17"/>
      <c r="D762" s="6"/>
      <c r="E762" s="18"/>
      <c r="F762" s="17"/>
      <c r="G762" s="6"/>
      <c r="H762" s="18"/>
      <c r="I762" s="17"/>
      <c r="J762" s="6"/>
      <c r="K762" s="17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>
      <c r="A763" s="6"/>
      <c r="B763" s="110"/>
      <c r="C763" s="17"/>
      <c r="D763" s="6"/>
      <c r="E763" s="18"/>
      <c r="F763" s="17"/>
      <c r="G763" s="6"/>
      <c r="H763" s="18"/>
      <c r="I763" s="17"/>
      <c r="J763" s="6"/>
      <c r="K763" s="17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>
      <c r="A764" s="6"/>
      <c r="B764" s="110"/>
      <c r="C764" s="17"/>
      <c r="D764" s="6"/>
      <c r="E764" s="18"/>
      <c r="F764" s="17"/>
      <c r="G764" s="6"/>
      <c r="H764" s="18"/>
      <c r="I764" s="17"/>
      <c r="J764" s="6"/>
      <c r="K764" s="17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>
      <c r="A765" s="6"/>
      <c r="B765" s="110"/>
      <c r="C765" s="17"/>
      <c r="D765" s="6"/>
      <c r="E765" s="18"/>
      <c r="F765" s="17"/>
      <c r="G765" s="6"/>
      <c r="H765" s="18"/>
      <c r="I765" s="17"/>
      <c r="J765" s="6"/>
      <c r="K765" s="17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>
      <c r="A766" s="6"/>
      <c r="B766" s="110"/>
      <c r="C766" s="17"/>
      <c r="D766" s="6"/>
      <c r="E766" s="18"/>
      <c r="F766" s="17"/>
      <c r="G766" s="6"/>
      <c r="H766" s="18"/>
      <c r="I766" s="17"/>
      <c r="J766" s="6"/>
      <c r="K766" s="17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>
      <c r="A767" s="6"/>
      <c r="B767" s="110"/>
      <c r="C767" s="17"/>
      <c r="D767" s="6"/>
      <c r="E767" s="18"/>
      <c r="F767" s="17"/>
      <c r="G767" s="6"/>
      <c r="H767" s="18"/>
      <c r="I767" s="17"/>
      <c r="J767" s="6"/>
      <c r="K767" s="17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>
      <c r="A768" s="6"/>
      <c r="B768" s="110"/>
      <c r="C768" s="17"/>
      <c r="D768" s="6"/>
      <c r="E768" s="18"/>
      <c r="F768" s="17"/>
      <c r="G768" s="6"/>
      <c r="H768" s="18"/>
      <c r="I768" s="17"/>
      <c r="J768" s="6"/>
      <c r="K768" s="17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>
      <c r="A769" s="6"/>
      <c r="B769" s="110"/>
      <c r="C769" s="17"/>
      <c r="D769" s="6"/>
      <c r="E769" s="18"/>
      <c r="F769" s="17"/>
      <c r="G769" s="6"/>
      <c r="H769" s="18"/>
      <c r="I769" s="17"/>
      <c r="J769" s="6"/>
      <c r="K769" s="17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>
      <c r="A770" s="6"/>
      <c r="B770" s="110"/>
      <c r="C770" s="17"/>
      <c r="D770" s="6"/>
      <c r="E770" s="18"/>
      <c r="F770" s="17"/>
      <c r="G770" s="6"/>
      <c r="H770" s="18"/>
      <c r="I770" s="17"/>
      <c r="J770" s="6"/>
      <c r="K770" s="17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>
      <c r="A771" s="6"/>
      <c r="B771" s="110"/>
      <c r="C771" s="17"/>
      <c r="D771" s="6"/>
      <c r="E771" s="18"/>
      <c r="F771" s="17"/>
      <c r="G771" s="6"/>
      <c r="H771" s="18"/>
      <c r="I771" s="17"/>
      <c r="J771" s="6"/>
      <c r="K771" s="17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>
      <c r="A772" s="6"/>
      <c r="B772" s="110"/>
      <c r="C772" s="17"/>
      <c r="D772" s="6"/>
      <c r="E772" s="18"/>
      <c r="F772" s="17"/>
      <c r="G772" s="6"/>
      <c r="H772" s="18"/>
      <c r="I772" s="17"/>
      <c r="J772" s="6"/>
      <c r="K772" s="17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>
      <c r="A773" s="6"/>
      <c r="B773" s="110"/>
      <c r="C773" s="17"/>
      <c r="D773" s="6"/>
      <c r="E773" s="18"/>
      <c r="F773" s="17"/>
      <c r="G773" s="6"/>
      <c r="H773" s="18"/>
      <c r="I773" s="17"/>
      <c r="J773" s="6"/>
      <c r="K773" s="17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>
      <c r="A774" s="6"/>
      <c r="B774" s="110"/>
      <c r="C774" s="17"/>
      <c r="D774" s="6"/>
      <c r="E774" s="18"/>
      <c r="F774" s="17"/>
      <c r="G774" s="6"/>
      <c r="H774" s="18"/>
      <c r="I774" s="17"/>
      <c r="J774" s="6"/>
      <c r="K774" s="17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>
      <c r="A775" s="6"/>
      <c r="B775" s="110"/>
      <c r="C775" s="17"/>
      <c r="D775" s="6"/>
      <c r="E775" s="18"/>
      <c r="F775" s="17"/>
      <c r="G775" s="6"/>
      <c r="H775" s="18"/>
      <c r="I775" s="17"/>
      <c r="J775" s="6"/>
      <c r="K775" s="17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>
      <c r="A776" s="6"/>
      <c r="B776" s="110"/>
      <c r="C776" s="17"/>
      <c r="D776" s="6"/>
      <c r="E776" s="18"/>
      <c r="F776" s="17"/>
      <c r="G776" s="6"/>
      <c r="H776" s="18"/>
      <c r="I776" s="17"/>
      <c r="J776" s="6"/>
      <c r="K776" s="17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>
      <c r="A777" s="6"/>
      <c r="B777" s="110"/>
      <c r="C777" s="17"/>
      <c r="D777" s="6"/>
      <c r="E777" s="18"/>
      <c r="F777" s="17"/>
      <c r="G777" s="6"/>
      <c r="H777" s="18"/>
      <c r="I777" s="17"/>
      <c r="J777" s="6"/>
      <c r="K777" s="17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>
      <c r="A778" s="6"/>
      <c r="B778" s="110"/>
      <c r="C778" s="17"/>
      <c r="D778" s="6"/>
      <c r="E778" s="18"/>
      <c r="F778" s="17"/>
      <c r="G778" s="6"/>
      <c r="H778" s="18"/>
      <c r="I778" s="17"/>
      <c r="J778" s="6"/>
      <c r="K778" s="17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>
      <c r="A779" s="6"/>
      <c r="B779" s="110"/>
      <c r="C779" s="17"/>
      <c r="D779" s="6"/>
      <c r="E779" s="18"/>
      <c r="F779" s="17"/>
      <c r="G779" s="6"/>
      <c r="H779" s="18"/>
      <c r="I779" s="17"/>
      <c r="J779" s="6"/>
      <c r="K779" s="17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>
      <c r="A780" s="6"/>
      <c r="B780" s="110"/>
      <c r="C780" s="17"/>
      <c r="D780" s="6"/>
      <c r="E780" s="18"/>
      <c r="F780" s="17"/>
      <c r="G780" s="6"/>
      <c r="H780" s="18"/>
      <c r="I780" s="17"/>
      <c r="J780" s="6"/>
      <c r="K780" s="17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>
      <c r="A781" s="6"/>
      <c r="B781" s="110"/>
      <c r="C781" s="17"/>
      <c r="D781" s="6"/>
      <c r="E781" s="18"/>
      <c r="F781" s="17"/>
      <c r="G781" s="6"/>
      <c r="H781" s="18"/>
      <c r="I781" s="17"/>
      <c r="J781" s="6"/>
      <c r="K781" s="17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>
      <c r="A782" s="6"/>
      <c r="B782" s="110"/>
      <c r="C782" s="17"/>
      <c r="D782" s="6"/>
      <c r="E782" s="18"/>
      <c r="F782" s="17"/>
      <c r="G782" s="6"/>
      <c r="H782" s="18"/>
      <c r="I782" s="17"/>
      <c r="J782" s="6"/>
      <c r="K782" s="17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>
      <c r="A783" s="6"/>
      <c r="B783" s="110"/>
      <c r="C783" s="17"/>
      <c r="D783" s="6"/>
      <c r="E783" s="18"/>
      <c r="F783" s="17"/>
      <c r="G783" s="6"/>
      <c r="H783" s="18"/>
      <c r="I783" s="17"/>
      <c r="J783" s="6"/>
      <c r="K783" s="17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>
      <c r="A784" s="6"/>
      <c r="B784" s="110"/>
      <c r="C784" s="17"/>
      <c r="D784" s="6"/>
      <c r="E784" s="18"/>
      <c r="F784" s="17"/>
      <c r="G784" s="6"/>
      <c r="H784" s="18"/>
      <c r="I784" s="17"/>
      <c r="J784" s="6"/>
      <c r="K784" s="17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>
      <c r="A785" s="6"/>
      <c r="B785" s="110"/>
      <c r="C785" s="17"/>
      <c r="D785" s="6"/>
      <c r="E785" s="18"/>
      <c r="F785" s="17"/>
      <c r="G785" s="6"/>
      <c r="H785" s="18"/>
      <c r="I785" s="17"/>
      <c r="J785" s="6"/>
      <c r="K785" s="17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>
      <c r="A786" s="6"/>
      <c r="B786" s="110"/>
      <c r="C786" s="17"/>
      <c r="D786" s="6"/>
      <c r="E786" s="18"/>
      <c r="F786" s="17"/>
      <c r="G786" s="6"/>
      <c r="H786" s="18"/>
      <c r="I786" s="17"/>
      <c r="J786" s="6"/>
      <c r="K786" s="17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>
      <c r="A787" s="6"/>
      <c r="B787" s="110"/>
      <c r="C787" s="17"/>
      <c r="D787" s="6"/>
      <c r="E787" s="18"/>
      <c r="F787" s="17"/>
      <c r="G787" s="6"/>
      <c r="H787" s="18"/>
      <c r="I787" s="17"/>
      <c r="J787" s="6"/>
      <c r="K787" s="17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>
      <c r="A788" s="6"/>
      <c r="B788" s="110"/>
      <c r="C788" s="17"/>
      <c r="D788" s="6"/>
      <c r="E788" s="18"/>
      <c r="F788" s="17"/>
      <c r="G788" s="6"/>
      <c r="H788" s="18"/>
      <c r="I788" s="17"/>
      <c r="J788" s="6"/>
      <c r="K788" s="17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>
      <c r="A789" s="6"/>
      <c r="B789" s="110"/>
      <c r="C789" s="17"/>
      <c r="D789" s="6"/>
      <c r="E789" s="18"/>
      <c r="F789" s="17"/>
      <c r="G789" s="6"/>
      <c r="H789" s="18"/>
      <c r="I789" s="17"/>
      <c r="J789" s="6"/>
      <c r="K789" s="17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>
      <c r="A790" s="6"/>
      <c r="B790" s="110"/>
      <c r="C790" s="17"/>
      <c r="D790" s="6"/>
      <c r="E790" s="18"/>
      <c r="F790" s="17"/>
      <c r="G790" s="6"/>
      <c r="H790" s="18"/>
      <c r="I790" s="17"/>
      <c r="J790" s="6"/>
      <c r="K790" s="17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>
      <c r="A791" s="6"/>
      <c r="B791" s="110"/>
      <c r="C791" s="17"/>
      <c r="D791" s="6"/>
      <c r="E791" s="18"/>
      <c r="F791" s="17"/>
      <c r="G791" s="6"/>
      <c r="H791" s="18"/>
      <c r="I791" s="17"/>
      <c r="J791" s="6"/>
      <c r="K791" s="17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>
      <c r="A792" s="6"/>
      <c r="B792" s="110"/>
      <c r="C792" s="17"/>
      <c r="D792" s="6"/>
      <c r="E792" s="18"/>
      <c r="F792" s="17"/>
      <c r="G792" s="6"/>
      <c r="H792" s="18"/>
      <c r="I792" s="17"/>
      <c r="J792" s="6"/>
      <c r="K792" s="17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>
      <c r="A793" s="6"/>
      <c r="B793" s="110"/>
      <c r="C793" s="17"/>
      <c r="D793" s="6"/>
      <c r="E793" s="18"/>
      <c r="F793" s="17"/>
      <c r="G793" s="6"/>
      <c r="H793" s="18"/>
      <c r="I793" s="17"/>
      <c r="J793" s="6"/>
      <c r="K793" s="17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>
      <c r="A794" s="6"/>
      <c r="B794" s="110"/>
      <c r="C794" s="17"/>
      <c r="D794" s="6"/>
      <c r="E794" s="18"/>
      <c r="F794" s="17"/>
      <c r="G794" s="6"/>
      <c r="H794" s="18"/>
      <c r="I794" s="17"/>
      <c r="J794" s="6"/>
      <c r="K794" s="17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>
      <c r="A795" s="6"/>
      <c r="B795" s="110"/>
      <c r="C795" s="17"/>
      <c r="D795" s="6"/>
      <c r="E795" s="18"/>
      <c r="F795" s="17"/>
      <c r="G795" s="6"/>
      <c r="H795" s="18"/>
      <c r="I795" s="17"/>
      <c r="J795" s="6"/>
      <c r="K795" s="17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>
      <c r="A796" s="6"/>
      <c r="B796" s="110"/>
      <c r="C796" s="17"/>
      <c r="D796" s="6"/>
      <c r="E796" s="18"/>
      <c r="F796" s="17"/>
      <c r="G796" s="6"/>
      <c r="H796" s="18"/>
      <c r="I796" s="17"/>
      <c r="J796" s="6"/>
      <c r="K796" s="17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>
      <c r="A797" s="6"/>
      <c r="B797" s="110"/>
      <c r="C797" s="17"/>
      <c r="D797" s="6"/>
      <c r="E797" s="18"/>
      <c r="F797" s="17"/>
      <c r="G797" s="6"/>
      <c r="H797" s="18"/>
      <c r="I797" s="17"/>
      <c r="J797" s="6"/>
      <c r="K797" s="17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>
      <c r="A798" s="6"/>
      <c r="B798" s="110"/>
      <c r="C798" s="17"/>
      <c r="D798" s="6"/>
      <c r="E798" s="18"/>
      <c r="F798" s="17"/>
      <c r="G798" s="6"/>
      <c r="H798" s="18"/>
      <c r="I798" s="17"/>
      <c r="J798" s="6"/>
      <c r="K798" s="17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>
      <c r="A799" s="6"/>
      <c r="B799" s="110"/>
      <c r="C799" s="17"/>
      <c r="D799" s="6"/>
      <c r="E799" s="18"/>
      <c r="F799" s="17"/>
      <c r="G799" s="6"/>
      <c r="H799" s="18"/>
      <c r="I799" s="17"/>
      <c r="J799" s="6"/>
      <c r="K799" s="17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>
      <c r="A800" s="6"/>
      <c r="B800" s="110"/>
      <c r="C800" s="17"/>
      <c r="D800" s="6"/>
      <c r="E800" s="18"/>
      <c r="F800" s="17"/>
      <c r="G800" s="6"/>
      <c r="H800" s="18"/>
      <c r="I800" s="17"/>
      <c r="J800" s="6"/>
      <c r="K800" s="17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>
      <c r="A801" s="6"/>
      <c r="B801" s="110"/>
      <c r="C801" s="17"/>
      <c r="D801" s="6"/>
      <c r="E801" s="18"/>
      <c r="F801" s="17"/>
      <c r="G801" s="6"/>
      <c r="H801" s="18"/>
      <c r="I801" s="17"/>
      <c r="J801" s="6"/>
      <c r="K801" s="17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>
      <c r="A802" s="6"/>
      <c r="B802" s="110"/>
      <c r="C802" s="17"/>
      <c r="D802" s="6"/>
      <c r="E802" s="18"/>
      <c r="F802" s="17"/>
      <c r="G802" s="6"/>
      <c r="H802" s="18"/>
      <c r="I802" s="17"/>
      <c r="J802" s="6"/>
      <c r="K802" s="17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>
      <c r="A803" s="6"/>
      <c r="B803" s="110"/>
      <c r="C803" s="17"/>
      <c r="D803" s="6"/>
      <c r="E803" s="18"/>
      <c r="F803" s="17"/>
      <c r="G803" s="6"/>
      <c r="H803" s="18"/>
      <c r="I803" s="17"/>
      <c r="J803" s="6"/>
      <c r="K803" s="17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>
      <c r="A804" s="6"/>
      <c r="B804" s="110"/>
      <c r="C804" s="17"/>
      <c r="D804" s="6"/>
      <c r="E804" s="18"/>
      <c r="F804" s="17"/>
      <c r="G804" s="6"/>
      <c r="H804" s="18"/>
      <c r="I804" s="17"/>
      <c r="J804" s="6"/>
      <c r="K804" s="17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>
      <c r="A805" s="6"/>
      <c r="B805" s="110"/>
      <c r="C805" s="17"/>
      <c r="D805" s="6"/>
      <c r="E805" s="18"/>
      <c r="F805" s="17"/>
      <c r="G805" s="6"/>
      <c r="H805" s="18"/>
      <c r="I805" s="17"/>
      <c r="J805" s="6"/>
      <c r="K805" s="17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>
      <c r="A806" s="6"/>
      <c r="B806" s="110"/>
      <c r="C806" s="17"/>
      <c r="D806" s="6"/>
      <c r="E806" s="18"/>
      <c r="F806" s="17"/>
      <c r="G806" s="6"/>
      <c r="H806" s="18"/>
      <c r="I806" s="17"/>
      <c r="J806" s="6"/>
      <c r="K806" s="17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>
      <c r="A807" s="6"/>
      <c r="B807" s="110"/>
      <c r="C807" s="17"/>
      <c r="D807" s="6"/>
      <c r="E807" s="18"/>
      <c r="F807" s="17"/>
      <c r="G807" s="6"/>
      <c r="H807" s="18"/>
      <c r="I807" s="17"/>
      <c r="J807" s="6"/>
      <c r="K807" s="17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>
      <c r="A808" s="6"/>
      <c r="B808" s="110"/>
      <c r="C808" s="17"/>
      <c r="D808" s="6"/>
      <c r="E808" s="18"/>
      <c r="F808" s="17"/>
      <c r="G808" s="6"/>
      <c r="H808" s="18"/>
      <c r="I808" s="17"/>
      <c r="J808" s="6"/>
      <c r="K808" s="17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>
      <c r="A809" s="6"/>
      <c r="B809" s="110"/>
      <c r="C809" s="17"/>
      <c r="D809" s="6"/>
      <c r="E809" s="18"/>
      <c r="F809" s="17"/>
      <c r="G809" s="6"/>
      <c r="H809" s="18"/>
      <c r="I809" s="17"/>
      <c r="J809" s="6"/>
      <c r="K809" s="17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>
      <c r="A810" s="6"/>
      <c r="B810" s="110"/>
      <c r="C810" s="17"/>
      <c r="D810" s="6"/>
      <c r="E810" s="18"/>
      <c r="F810" s="17"/>
      <c r="G810" s="6"/>
      <c r="H810" s="18"/>
      <c r="I810" s="17"/>
      <c r="J810" s="6"/>
      <c r="K810" s="17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>
      <c r="A811" s="6"/>
      <c r="B811" s="110"/>
      <c r="C811" s="17"/>
      <c r="D811" s="6"/>
      <c r="E811" s="18"/>
      <c r="F811" s="17"/>
      <c r="G811" s="6"/>
      <c r="H811" s="18"/>
      <c r="I811" s="17"/>
      <c r="J811" s="6"/>
      <c r="K811" s="17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>
      <c r="A812" s="6"/>
      <c r="B812" s="110"/>
      <c r="C812" s="17"/>
      <c r="D812" s="6"/>
      <c r="E812" s="18"/>
      <c r="F812" s="17"/>
      <c r="G812" s="6"/>
      <c r="H812" s="18"/>
      <c r="I812" s="17"/>
      <c r="J812" s="6"/>
      <c r="K812" s="17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>
      <c r="A813" s="6"/>
      <c r="B813" s="110"/>
      <c r="C813" s="17"/>
      <c r="D813" s="6"/>
      <c r="E813" s="18"/>
      <c r="F813" s="17"/>
      <c r="G813" s="6"/>
      <c r="H813" s="18"/>
      <c r="I813" s="17"/>
      <c r="J813" s="6"/>
      <c r="K813" s="17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>
      <c r="A814" s="6"/>
      <c r="B814" s="110"/>
      <c r="C814" s="17"/>
      <c r="D814" s="6"/>
      <c r="E814" s="18"/>
      <c r="F814" s="17"/>
      <c r="G814" s="6"/>
      <c r="H814" s="18"/>
      <c r="I814" s="17"/>
      <c r="J814" s="6"/>
      <c r="K814" s="17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>
      <c r="A815" s="6"/>
      <c r="B815" s="110"/>
      <c r="C815" s="17"/>
      <c r="D815" s="6"/>
      <c r="E815" s="18"/>
      <c r="F815" s="17"/>
      <c r="G815" s="6"/>
      <c r="H815" s="18"/>
      <c r="I815" s="17"/>
      <c r="J815" s="6"/>
      <c r="K815" s="17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>
      <c r="A816" s="6"/>
      <c r="B816" s="110"/>
      <c r="C816" s="17"/>
      <c r="D816" s="6"/>
      <c r="E816" s="18"/>
      <c r="F816" s="17"/>
      <c r="G816" s="6"/>
      <c r="H816" s="18"/>
      <c r="I816" s="17"/>
      <c r="J816" s="6"/>
      <c r="K816" s="17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>
      <c r="A817" s="6"/>
      <c r="B817" s="110"/>
      <c r="C817" s="17"/>
      <c r="D817" s="6"/>
      <c r="E817" s="18"/>
      <c r="F817" s="17"/>
      <c r="G817" s="6"/>
      <c r="H817" s="18"/>
      <c r="I817" s="17"/>
      <c r="J817" s="6"/>
      <c r="K817" s="17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>
      <c r="A818" s="6"/>
      <c r="B818" s="110"/>
      <c r="C818" s="17"/>
      <c r="D818" s="6"/>
      <c r="E818" s="18"/>
      <c r="F818" s="17"/>
      <c r="G818" s="6"/>
      <c r="H818" s="18"/>
      <c r="I818" s="17"/>
      <c r="J818" s="6"/>
      <c r="K818" s="17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>
      <c r="A819" s="6"/>
      <c r="B819" s="110"/>
      <c r="C819" s="17"/>
      <c r="D819" s="6"/>
      <c r="E819" s="18"/>
      <c r="F819" s="17"/>
      <c r="G819" s="6"/>
      <c r="H819" s="18"/>
      <c r="I819" s="17"/>
      <c r="J819" s="6"/>
      <c r="K819" s="17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>
      <c r="A820" s="6"/>
      <c r="B820" s="110"/>
      <c r="C820" s="17"/>
      <c r="D820" s="6"/>
      <c r="E820" s="18"/>
      <c r="F820" s="17"/>
      <c r="G820" s="6"/>
      <c r="H820" s="18"/>
      <c r="I820" s="17"/>
      <c r="J820" s="6"/>
      <c r="K820" s="17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>
      <c r="A821" s="6"/>
      <c r="B821" s="110"/>
      <c r="C821" s="17"/>
      <c r="D821" s="6"/>
      <c r="E821" s="18"/>
      <c r="F821" s="17"/>
      <c r="G821" s="6"/>
      <c r="H821" s="18"/>
      <c r="I821" s="17"/>
      <c r="J821" s="6"/>
      <c r="K821" s="17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>
      <c r="A822" s="6"/>
      <c r="B822" s="110"/>
      <c r="C822" s="17"/>
      <c r="D822" s="6"/>
      <c r="E822" s="18"/>
      <c r="F822" s="17"/>
      <c r="G822" s="6"/>
      <c r="H822" s="18"/>
      <c r="I822" s="17"/>
      <c r="J822" s="6"/>
      <c r="K822" s="17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>
      <c r="A823" s="6"/>
      <c r="B823" s="110"/>
      <c r="C823" s="17"/>
      <c r="D823" s="6"/>
      <c r="E823" s="18"/>
      <c r="F823" s="17"/>
      <c r="G823" s="6"/>
      <c r="H823" s="18"/>
      <c r="I823" s="17"/>
      <c r="J823" s="6"/>
      <c r="K823" s="17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>
      <c r="A824" s="6"/>
      <c r="B824" s="110"/>
      <c r="C824" s="17"/>
      <c r="D824" s="6"/>
      <c r="E824" s="18"/>
      <c r="F824" s="17"/>
      <c r="G824" s="6"/>
      <c r="H824" s="18"/>
      <c r="I824" s="17"/>
      <c r="J824" s="6"/>
      <c r="K824" s="17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>
      <c r="A825" s="6"/>
      <c r="B825" s="110"/>
      <c r="C825" s="17"/>
      <c r="D825" s="6"/>
      <c r="E825" s="18"/>
      <c r="F825" s="17"/>
      <c r="G825" s="6"/>
      <c r="H825" s="18"/>
      <c r="I825" s="17"/>
      <c r="J825" s="6"/>
      <c r="K825" s="17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>
      <c r="A826" s="6"/>
      <c r="B826" s="110"/>
      <c r="C826" s="17"/>
      <c r="D826" s="6"/>
      <c r="E826" s="18"/>
      <c r="F826" s="17"/>
      <c r="G826" s="6"/>
      <c r="H826" s="18"/>
      <c r="I826" s="17"/>
      <c r="J826" s="6"/>
      <c r="K826" s="17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>
      <c r="A827" s="6"/>
      <c r="B827" s="110"/>
      <c r="C827" s="17"/>
      <c r="D827" s="6"/>
      <c r="E827" s="18"/>
      <c r="F827" s="17"/>
      <c r="G827" s="6"/>
      <c r="H827" s="18"/>
      <c r="I827" s="17"/>
      <c r="J827" s="6"/>
      <c r="K827" s="17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>
      <c r="A828" s="6"/>
      <c r="B828" s="110"/>
      <c r="C828" s="17"/>
      <c r="D828" s="6"/>
      <c r="E828" s="18"/>
      <c r="F828" s="17"/>
      <c r="G828" s="6"/>
      <c r="H828" s="18"/>
      <c r="I828" s="17"/>
      <c r="J828" s="6"/>
      <c r="K828" s="17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>
      <c r="A829" s="6"/>
      <c r="B829" s="110"/>
      <c r="C829" s="17"/>
      <c r="D829" s="6"/>
      <c r="E829" s="18"/>
      <c r="F829" s="17"/>
      <c r="G829" s="6"/>
      <c r="H829" s="18"/>
      <c r="I829" s="17"/>
      <c r="J829" s="6"/>
      <c r="K829" s="17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>
      <c r="A830" s="6"/>
      <c r="B830" s="110"/>
      <c r="C830" s="17"/>
      <c r="D830" s="6"/>
      <c r="E830" s="18"/>
      <c r="F830" s="17"/>
      <c r="G830" s="6"/>
      <c r="H830" s="18"/>
      <c r="I830" s="17"/>
      <c r="J830" s="6"/>
      <c r="K830" s="17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>
      <c r="A831" s="6"/>
      <c r="B831" s="110"/>
      <c r="C831" s="17"/>
      <c r="D831" s="6"/>
      <c r="E831" s="18"/>
      <c r="F831" s="17"/>
      <c r="G831" s="6"/>
      <c r="H831" s="18"/>
      <c r="I831" s="17"/>
      <c r="J831" s="6"/>
      <c r="K831" s="17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>
      <c r="A832" s="6"/>
      <c r="B832" s="110"/>
      <c r="C832" s="17"/>
      <c r="D832" s="6"/>
      <c r="E832" s="18"/>
      <c r="F832" s="17"/>
      <c r="G832" s="6"/>
      <c r="H832" s="18"/>
      <c r="I832" s="17"/>
      <c r="J832" s="6"/>
      <c r="K832" s="17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>
      <c r="A833" s="6"/>
      <c r="B833" s="110"/>
      <c r="C833" s="17"/>
      <c r="D833" s="6"/>
      <c r="E833" s="18"/>
      <c r="F833" s="17"/>
      <c r="G833" s="6"/>
      <c r="H833" s="18"/>
      <c r="I833" s="17"/>
      <c r="J833" s="6"/>
      <c r="K833" s="17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>
      <c r="A834" s="6"/>
      <c r="B834" s="110"/>
      <c r="C834" s="17"/>
      <c r="D834" s="6"/>
      <c r="E834" s="18"/>
      <c r="F834" s="17"/>
      <c r="G834" s="6"/>
      <c r="H834" s="18"/>
      <c r="I834" s="17"/>
      <c r="J834" s="6"/>
      <c r="K834" s="17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>
      <c r="A835" s="6"/>
      <c r="B835" s="110"/>
      <c r="C835" s="17"/>
      <c r="D835" s="6"/>
      <c r="E835" s="18"/>
      <c r="F835" s="17"/>
      <c r="G835" s="6"/>
      <c r="H835" s="18"/>
      <c r="I835" s="17"/>
      <c r="J835" s="6"/>
      <c r="K835" s="17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>
      <c r="A836" s="6"/>
      <c r="B836" s="110"/>
      <c r="C836" s="17"/>
      <c r="D836" s="6"/>
      <c r="E836" s="18"/>
      <c r="F836" s="17"/>
      <c r="G836" s="6"/>
      <c r="H836" s="18"/>
      <c r="I836" s="17"/>
      <c r="J836" s="6"/>
      <c r="K836" s="17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>
      <c r="A837" s="6"/>
      <c r="B837" s="110"/>
      <c r="C837" s="17"/>
      <c r="D837" s="6"/>
      <c r="E837" s="18"/>
      <c r="F837" s="17"/>
      <c r="G837" s="6"/>
      <c r="H837" s="18"/>
      <c r="I837" s="17"/>
      <c r="J837" s="6"/>
      <c r="K837" s="17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>
      <c r="A838" s="6"/>
      <c r="B838" s="110"/>
      <c r="C838" s="17"/>
      <c r="D838" s="6"/>
      <c r="E838" s="18"/>
      <c r="F838" s="17"/>
      <c r="G838" s="6"/>
      <c r="H838" s="18"/>
      <c r="I838" s="17"/>
      <c r="J838" s="6"/>
      <c r="K838" s="17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>
      <c r="A839" s="6"/>
      <c r="B839" s="110"/>
      <c r="C839" s="17"/>
      <c r="D839" s="6"/>
      <c r="E839" s="18"/>
      <c r="F839" s="17"/>
      <c r="G839" s="6"/>
      <c r="H839" s="18"/>
      <c r="I839" s="17"/>
      <c r="J839" s="6"/>
      <c r="K839" s="17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>
      <c r="A840" s="6"/>
      <c r="B840" s="110"/>
      <c r="C840" s="17"/>
      <c r="D840" s="6"/>
      <c r="E840" s="18"/>
      <c r="F840" s="17"/>
      <c r="G840" s="6"/>
      <c r="H840" s="18"/>
      <c r="I840" s="17"/>
      <c r="J840" s="6"/>
      <c r="K840" s="17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>
      <c r="A841" s="6"/>
      <c r="B841" s="110"/>
      <c r="C841" s="17"/>
      <c r="D841" s="6"/>
      <c r="E841" s="18"/>
      <c r="F841" s="17"/>
      <c r="G841" s="6"/>
      <c r="H841" s="18"/>
      <c r="I841" s="17"/>
      <c r="J841" s="6"/>
      <c r="K841" s="17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>
      <c r="A842" s="6"/>
      <c r="B842" s="110"/>
      <c r="C842" s="17"/>
      <c r="D842" s="6"/>
      <c r="E842" s="18"/>
      <c r="F842" s="17"/>
      <c r="G842" s="6"/>
      <c r="H842" s="18"/>
      <c r="I842" s="17"/>
      <c r="J842" s="6"/>
      <c r="K842" s="17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>
      <c r="A843" s="6"/>
      <c r="B843" s="110"/>
      <c r="C843" s="17"/>
      <c r="D843" s="6"/>
      <c r="E843" s="18"/>
      <c r="F843" s="17"/>
      <c r="G843" s="6"/>
      <c r="H843" s="18"/>
      <c r="I843" s="17"/>
      <c r="J843" s="6"/>
      <c r="K843" s="17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>
      <c r="A844" s="6"/>
      <c r="B844" s="110"/>
      <c r="C844" s="17"/>
      <c r="D844" s="6"/>
      <c r="E844" s="18"/>
      <c r="F844" s="17"/>
      <c r="G844" s="6"/>
      <c r="H844" s="18"/>
      <c r="I844" s="17"/>
      <c r="J844" s="6"/>
      <c r="K844" s="17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>
      <c r="A845" s="6"/>
      <c r="B845" s="110"/>
      <c r="C845" s="17"/>
      <c r="D845" s="6"/>
      <c r="E845" s="18"/>
      <c r="F845" s="17"/>
      <c r="G845" s="6"/>
      <c r="H845" s="18"/>
      <c r="I845" s="17"/>
      <c r="J845" s="6"/>
      <c r="K845" s="17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>
      <c r="A846" s="6"/>
      <c r="B846" s="110"/>
      <c r="C846" s="17"/>
      <c r="D846" s="6"/>
      <c r="E846" s="18"/>
      <c r="F846" s="17"/>
      <c r="G846" s="6"/>
      <c r="H846" s="18"/>
      <c r="I846" s="17"/>
      <c r="J846" s="6"/>
      <c r="K846" s="17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>
      <c r="A847" s="6"/>
      <c r="B847" s="110"/>
      <c r="C847" s="17"/>
      <c r="D847" s="6"/>
      <c r="E847" s="18"/>
      <c r="F847" s="17"/>
      <c r="G847" s="6"/>
      <c r="H847" s="18"/>
      <c r="I847" s="17"/>
      <c r="J847" s="6"/>
      <c r="K847" s="17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>
      <c r="A848" s="6"/>
      <c r="B848" s="110"/>
      <c r="C848" s="17"/>
      <c r="D848" s="6"/>
      <c r="E848" s="18"/>
      <c r="F848" s="17"/>
      <c r="G848" s="6"/>
      <c r="H848" s="18"/>
      <c r="I848" s="17"/>
      <c r="J848" s="6"/>
      <c r="K848" s="17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>
      <c r="A849" s="6"/>
      <c r="B849" s="110"/>
      <c r="C849" s="17"/>
      <c r="D849" s="6"/>
      <c r="E849" s="18"/>
      <c r="F849" s="17"/>
      <c r="G849" s="6"/>
      <c r="H849" s="18"/>
      <c r="I849" s="17"/>
      <c r="J849" s="6"/>
      <c r="K849" s="17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>
      <c r="A850" s="6"/>
      <c r="B850" s="110"/>
      <c r="C850" s="17"/>
      <c r="D850" s="6"/>
      <c r="E850" s="18"/>
      <c r="F850" s="17"/>
      <c r="G850" s="6"/>
      <c r="H850" s="18"/>
      <c r="I850" s="17"/>
      <c r="J850" s="6"/>
      <c r="K850" s="17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>
      <c r="A851" s="6"/>
      <c r="B851" s="110"/>
      <c r="C851" s="17"/>
      <c r="D851" s="6"/>
      <c r="E851" s="18"/>
      <c r="F851" s="17"/>
      <c r="G851" s="6"/>
      <c r="H851" s="18"/>
      <c r="I851" s="17"/>
      <c r="J851" s="6"/>
      <c r="K851" s="17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>
      <c r="A852" s="6"/>
      <c r="B852" s="110"/>
      <c r="C852" s="17"/>
      <c r="D852" s="6"/>
      <c r="E852" s="18"/>
      <c r="F852" s="17"/>
      <c r="G852" s="6"/>
      <c r="H852" s="18"/>
      <c r="I852" s="17"/>
      <c r="J852" s="6"/>
      <c r="K852" s="17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>
      <c r="A853" s="6"/>
      <c r="B853" s="110"/>
      <c r="C853" s="17"/>
      <c r="D853" s="6"/>
      <c r="E853" s="18"/>
      <c r="F853" s="17"/>
      <c r="G853" s="6"/>
      <c r="H853" s="18"/>
      <c r="I853" s="17"/>
      <c r="J853" s="6"/>
      <c r="K853" s="17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>
      <c r="A854" s="6"/>
      <c r="B854" s="110"/>
      <c r="C854" s="17"/>
      <c r="D854" s="6"/>
      <c r="E854" s="18"/>
      <c r="F854" s="17"/>
      <c r="G854" s="6"/>
      <c r="H854" s="18"/>
      <c r="I854" s="17"/>
      <c r="J854" s="6"/>
      <c r="K854" s="17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>
      <c r="A855" s="6"/>
      <c r="B855" s="110"/>
      <c r="C855" s="17"/>
      <c r="D855" s="6"/>
      <c r="E855" s="18"/>
      <c r="F855" s="17"/>
      <c r="G855" s="6"/>
      <c r="H855" s="18"/>
      <c r="I855" s="17"/>
      <c r="J855" s="6"/>
      <c r="K855" s="17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>
      <c r="A856" s="6"/>
      <c r="B856" s="110"/>
      <c r="C856" s="17"/>
      <c r="D856" s="6"/>
      <c r="E856" s="18"/>
      <c r="F856" s="17"/>
      <c r="G856" s="6"/>
      <c r="H856" s="18"/>
      <c r="I856" s="17"/>
      <c r="J856" s="6"/>
      <c r="K856" s="17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>
      <c r="A857" s="6"/>
      <c r="B857" s="110"/>
      <c r="C857" s="17"/>
      <c r="D857" s="6"/>
      <c r="E857" s="18"/>
      <c r="F857" s="17"/>
      <c r="G857" s="6"/>
      <c r="H857" s="18"/>
      <c r="I857" s="17"/>
      <c r="J857" s="6"/>
      <c r="K857" s="17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>
      <c r="A858" s="6"/>
      <c r="B858" s="110"/>
      <c r="C858" s="17"/>
      <c r="D858" s="6"/>
      <c r="E858" s="18"/>
      <c r="F858" s="17"/>
      <c r="G858" s="6"/>
      <c r="H858" s="18"/>
      <c r="I858" s="17"/>
      <c r="J858" s="6"/>
      <c r="K858" s="17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>
      <c r="A859" s="6"/>
      <c r="B859" s="110"/>
      <c r="C859" s="17"/>
      <c r="D859" s="6"/>
      <c r="E859" s="18"/>
      <c r="F859" s="17"/>
      <c r="G859" s="6"/>
      <c r="H859" s="18"/>
      <c r="I859" s="17"/>
      <c r="J859" s="6"/>
      <c r="K859" s="17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>
      <c r="A860" s="6"/>
      <c r="B860" s="110"/>
      <c r="C860" s="17"/>
      <c r="D860" s="6"/>
      <c r="E860" s="18"/>
      <c r="F860" s="17"/>
      <c r="G860" s="6"/>
      <c r="H860" s="18"/>
      <c r="I860" s="17"/>
      <c r="J860" s="6"/>
      <c r="K860" s="17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>
      <c r="A861" s="6"/>
      <c r="B861" s="110"/>
      <c r="C861" s="17"/>
      <c r="D861" s="6"/>
      <c r="E861" s="18"/>
      <c r="F861" s="17"/>
      <c r="G861" s="6"/>
      <c r="H861" s="18"/>
      <c r="I861" s="17"/>
      <c r="J861" s="6"/>
      <c r="K861" s="17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>
      <c r="A862" s="6"/>
      <c r="B862" s="110"/>
      <c r="C862" s="17"/>
      <c r="D862" s="6"/>
      <c r="E862" s="18"/>
      <c r="F862" s="17"/>
      <c r="G862" s="6"/>
      <c r="H862" s="18"/>
      <c r="I862" s="17"/>
      <c r="J862" s="6"/>
      <c r="K862" s="17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>
      <c r="A863" s="6"/>
      <c r="B863" s="110"/>
      <c r="C863" s="17"/>
      <c r="D863" s="6"/>
      <c r="E863" s="18"/>
      <c r="F863" s="17"/>
      <c r="G863" s="6"/>
      <c r="H863" s="18"/>
      <c r="I863" s="17"/>
      <c r="J863" s="6"/>
      <c r="K863" s="17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>
      <c r="A864" s="6"/>
      <c r="B864" s="110"/>
      <c r="C864" s="17"/>
      <c r="D864" s="6"/>
      <c r="E864" s="18"/>
      <c r="F864" s="17"/>
      <c r="G864" s="6"/>
      <c r="H864" s="18"/>
      <c r="I864" s="17"/>
      <c r="J864" s="6"/>
      <c r="K864" s="17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>
      <c r="A865" s="6"/>
      <c r="B865" s="110"/>
      <c r="C865" s="17"/>
      <c r="D865" s="6"/>
      <c r="E865" s="18"/>
      <c r="F865" s="17"/>
      <c r="G865" s="6"/>
      <c r="H865" s="18"/>
      <c r="I865" s="17"/>
      <c r="J865" s="6"/>
      <c r="K865" s="17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>
      <c r="A866" s="6"/>
      <c r="B866" s="110"/>
      <c r="C866" s="17"/>
      <c r="D866" s="6"/>
      <c r="E866" s="18"/>
      <c r="F866" s="17"/>
      <c r="G866" s="6"/>
      <c r="H866" s="18"/>
      <c r="I866" s="17"/>
      <c r="J866" s="6"/>
      <c r="K866" s="17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>
      <c r="A867" s="6"/>
      <c r="B867" s="110"/>
      <c r="C867" s="17"/>
      <c r="D867" s="6"/>
      <c r="E867" s="18"/>
      <c r="F867" s="17"/>
      <c r="G867" s="6"/>
      <c r="H867" s="18"/>
      <c r="I867" s="17"/>
      <c r="J867" s="6"/>
      <c r="K867" s="17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>
      <c r="A868" s="6"/>
      <c r="B868" s="110"/>
      <c r="C868" s="17"/>
      <c r="D868" s="6"/>
      <c r="E868" s="18"/>
      <c r="F868" s="17"/>
      <c r="G868" s="6"/>
      <c r="H868" s="18"/>
      <c r="I868" s="17"/>
      <c r="J868" s="6"/>
      <c r="K868" s="17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>
      <c r="A869" s="6"/>
      <c r="B869" s="110"/>
      <c r="C869" s="17"/>
      <c r="D869" s="6"/>
      <c r="E869" s="18"/>
      <c r="F869" s="17"/>
      <c r="G869" s="6"/>
      <c r="H869" s="18"/>
      <c r="I869" s="17"/>
      <c r="J869" s="6"/>
      <c r="K869" s="17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>
      <c r="A870" s="6"/>
      <c r="B870" s="110"/>
      <c r="C870" s="17"/>
      <c r="D870" s="6"/>
      <c r="E870" s="18"/>
      <c r="F870" s="17"/>
      <c r="G870" s="6"/>
      <c r="H870" s="18"/>
      <c r="I870" s="17"/>
      <c r="J870" s="6"/>
      <c r="K870" s="17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>
      <c r="A871" s="6"/>
      <c r="B871" s="110"/>
      <c r="C871" s="17"/>
      <c r="D871" s="6"/>
      <c r="E871" s="18"/>
      <c r="F871" s="17"/>
      <c r="G871" s="6"/>
      <c r="H871" s="18"/>
      <c r="I871" s="17"/>
      <c r="J871" s="6"/>
      <c r="K871" s="17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>
      <c r="A872" s="6"/>
      <c r="B872" s="110"/>
      <c r="C872" s="17"/>
      <c r="D872" s="6"/>
      <c r="E872" s="18"/>
      <c r="F872" s="17"/>
      <c r="G872" s="6"/>
      <c r="H872" s="18"/>
      <c r="I872" s="17"/>
      <c r="J872" s="6"/>
      <c r="K872" s="17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>
      <c r="A873" s="6"/>
      <c r="B873" s="110"/>
      <c r="C873" s="17"/>
      <c r="D873" s="6"/>
      <c r="E873" s="18"/>
      <c r="F873" s="17"/>
      <c r="G873" s="6"/>
      <c r="H873" s="18"/>
      <c r="I873" s="17"/>
      <c r="J873" s="6"/>
      <c r="K873" s="17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>
      <c r="A874" s="6"/>
      <c r="B874" s="110"/>
      <c r="C874" s="17"/>
      <c r="D874" s="6"/>
      <c r="E874" s="18"/>
      <c r="F874" s="17"/>
      <c r="G874" s="6"/>
      <c r="H874" s="18"/>
      <c r="I874" s="17"/>
      <c r="J874" s="6"/>
      <c r="K874" s="17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>
      <c r="A875" s="6"/>
      <c r="B875" s="110"/>
      <c r="C875" s="17"/>
      <c r="D875" s="6"/>
      <c r="E875" s="18"/>
      <c r="F875" s="17"/>
      <c r="G875" s="6"/>
      <c r="H875" s="18"/>
      <c r="I875" s="17"/>
      <c r="J875" s="6"/>
      <c r="K875" s="17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>
      <c r="A876" s="6"/>
      <c r="B876" s="110"/>
      <c r="C876" s="17"/>
      <c r="D876" s="6"/>
      <c r="E876" s="18"/>
      <c r="F876" s="17"/>
      <c r="G876" s="6"/>
      <c r="H876" s="18"/>
      <c r="I876" s="17"/>
      <c r="J876" s="6"/>
      <c r="K876" s="17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>
      <c r="A877" s="6"/>
      <c r="B877" s="110"/>
      <c r="C877" s="17"/>
      <c r="D877" s="6"/>
      <c r="E877" s="18"/>
      <c r="F877" s="17"/>
      <c r="G877" s="6"/>
      <c r="H877" s="18"/>
      <c r="I877" s="17"/>
      <c r="J877" s="6"/>
      <c r="K877" s="17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>
      <c r="A878" s="6"/>
      <c r="B878" s="110"/>
      <c r="C878" s="17"/>
      <c r="D878" s="6"/>
      <c r="E878" s="18"/>
      <c r="F878" s="17"/>
      <c r="G878" s="6"/>
      <c r="H878" s="18"/>
      <c r="I878" s="17"/>
      <c r="J878" s="6"/>
      <c r="K878" s="17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>
      <c r="A879" s="6"/>
      <c r="B879" s="110"/>
      <c r="C879" s="17"/>
      <c r="D879" s="6"/>
      <c r="E879" s="18"/>
      <c r="F879" s="17"/>
      <c r="G879" s="6"/>
      <c r="H879" s="18"/>
      <c r="I879" s="17"/>
      <c r="J879" s="6"/>
      <c r="K879" s="17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>
      <c r="A880" s="6"/>
      <c r="B880" s="110"/>
      <c r="C880" s="17"/>
      <c r="D880" s="6"/>
      <c r="E880" s="18"/>
      <c r="F880" s="17"/>
      <c r="G880" s="6"/>
      <c r="H880" s="18"/>
      <c r="I880" s="17"/>
      <c r="J880" s="6"/>
      <c r="K880" s="17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>
      <c r="A881" s="6"/>
      <c r="B881" s="110"/>
      <c r="C881" s="17"/>
      <c r="D881" s="6"/>
      <c r="E881" s="18"/>
      <c r="F881" s="17"/>
      <c r="G881" s="6"/>
      <c r="H881" s="18"/>
      <c r="I881" s="17"/>
      <c r="J881" s="6"/>
      <c r="K881" s="17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>
      <c r="A882" s="6"/>
      <c r="B882" s="110"/>
      <c r="C882" s="17"/>
      <c r="D882" s="6"/>
      <c r="E882" s="18"/>
      <c r="F882" s="17"/>
      <c r="G882" s="6"/>
      <c r="H882" s="18"/>
      <c r="I882" s="17"/>
      <c r="J882" s="6"/>
      <c r="K882" s="17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>
      <c r="A883" s="6"/>
      <c r="B883" s="110"/>
      <c r="C883" s="17"/>
      <c r="D883" s="6"/>
      <c r="E883" s="18"/>
      <c r="F883" s="17"/>
      <c r="G883" s="6"/>
      <c r="H883" s="18"/>
      <c r="I883" s="17"/>
      <c r="J883" s="6"/>
      <c r="K883" s="17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>
      <c r="A884" s="6"/>
      <c r="B884" s="110"/>
      <c r="C884" s="17"/>
      <c r="D884" s="6"/>
      <c r="E884" s="18"/>
      <c r="F884" s="17"/>
      <c r="G884" s="6"/>
      <c r="H884" s="18"/>
      <c r="I884" s="17"/>
      <c r="J884" s="6"/>
      <c r="K884" s="17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>
      <c r="A885" s="6"/>
      <c r="B885" s="110"/>
      <c r="C885" s="17"/>
      <c r="D885" s="6"/>
      <c r="E885" s="18"/>
      <c r="F885" s="17"/>
      <c r="G885" s="6"/>
      <c r="H885" s="18"/>
      <c r="I885" s="17"/>
      <c r="J885" s="6"/>
      <c r="K885" s="17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>
      <c r="A886" s="6"/>
      <c r="B886" s="110"/>
      <c r="C886" s="17"/>
      <c r="D886" s="6"/>
      <c r="E886" s="18"/>
      <c r="F886" s="17"/>
      <c r="G886" s="6"/>
      <c r="H886" s="18"/>
      <c r="I886" s="17"/>
      <c r="J886" s="6"/>
      <c r="K886" s="17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>
      <c r="A887" s="6"/>
      <c r="B887" s="110"/>
      <c r="C887" s="17"/>
      <c r="D887" s="6"/>
      <c r="E887" s="18"/>
      <c r="F887" s="17"/>
      <c r="G887" s="6"/>
      <c r="H887" s="18"/>
      <c r="I887" s="17"/>
      <c r="J887" s="6"/>
      <c r="K887" s="17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>
      <c r="A888" s="6"/>
      <c r="B888" s="110"/>
      <c r="C888" s="17"/>
      <c r="D888" s="6"/>
      <c r="E888" s="18"/>
      <c r="F888" s="17"/>
      <c r="G888" s="6"/>
      <c r="H888" s="18"/>
      <c r="I888" s="17"/>
      <c r="J888" s="6"/>
      <c r="K888" s="17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>
      <c r="A889" s="6"/>
      <c r="B889" s="110"/>
      <c r="C889" s="17"/>
      <c r="D889" s="6"/>
      <c r="E889" s="18"/>
      <c r="F889" s="17"/>
      <c r="G889" s="6"/>
      <c r="H889" s="18"/>
      <c r="I889" s="17"/>
      <c r="J889" s="6"/>
      <c r="K889" s="17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>
      <c r="A890" s="6"/>
      <c r="B890" s="110"/>
      <c r="C890" s="17"/>
      <c r="D890" s="6"/>
      <c r="E890" s="18"/>
      <c r="F890" s="17"/>
      <c r="G890" s="6"/>
      <c r="H890" s="18"/>
      <c r="I890" s="17"/>
      <c r="J890" s="6"/>
      <c r="K890" s="17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>
      <c r="A891" s="6"/>
      <c r="B891" s="110"/>
      <c r="C891" s="17"/>
      <c r="D891" s="6"/>
      <c r="E891" s="18"/>
      <c r="F891" s="17"/>
      <c r="G891" s="6"/>
      <c r="H891" s="18"/>
      <c r="I891" s="17"/>
      <c r="J891" s="6"/>
      <c r="K891" s="17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>
      <c r="A892" s="6"/>
      <c r="B892" s="110"/>
      <c r="C892" s="17"/>
      <c r="D892" s="6"/>
      <c r="E892" s="18"/>
      <c r="F892" s="17"/>
      <c r="G892" s="6"/>
      <c r="H892" s="18"/>
      <c r="I892" s="17"/>
      <c r="J892" s="6"/>
      <c r="K892" s="17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>
      <c r="A893" s="6"/>
      <c r="B893" s="110"/>
      <c r="C893" s="17"/>
      <c r="D893" s="6"/>
      <c r="E893" s="18"/>
      <c r="F893" s="17"/>
      <c r="G893" s="6"/>
      <c r="H893" s="18"/>
      <c r="I893" s="17"/>
      <c r="J893" s="6"/>
      <c r="K893" s="17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>
      <c r="A894" s="6"/>
      <c r="B894" s="110"/>
      <c r="C894" s="17"/>
      <c r="D894" s="6"/>
      <c r="E894" s="18"/>
      <c r="F894" s="17"/>
      <c r="G894" s="6"/>
      <c r="H894" s="18"/>
      <c r="I894" s="17"/>
      <c r="J894" s="6"/>
      <c r="K894" s="17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>
      <c r="A895" s="6"/>
      <c r="B895" s="110"/>
      <c r="C895" s="17"/>
      <c r="D895" s="6"/>
      <c r="E895" s="18"/>
      <c r="F895" s="17"/>
      <c r="G895" s="6"/>
      <c r="H895" s="18"/>
      <c r="I895" s="17"/>
      <c r="J895" s="6"/>
      <c r="K895" s="17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>
      <c r="A896" s="6"/>
      <c r="B896" s="110"/>
      <c r="C896" s="17"/>
      <c r="D896" s="6"/>
      <c r="E896" s="18"/>
      <c r="F896" s="17"/>
      <c r="G896" s="6"/>
      <c r="H896" s="18"/>
      <c r="I896" s="17"/>
      <c r="J896" s="6"/>
      <c r="K896" s="17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>
      <c r="A897" s="6"/>
      <c r="B897" s="110"/>
      <c r="C897" s="17"/>
      <c r="D897" s="6"/>
      <c r="E897" s="18"/>
      <c r="F897" s="17"/>
      <c r="G897" s="6"/>
      <c r="H897" s="18"/>
      <c r="I897" s="17"/>
      <c r="J897" s="6"/>
      <c r="K897" s="17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>
      <c r="A898" s="6"/>
      <c r="B898" s="110"/>
      <c r="C898" s="17"/>
      <c r="D898" s="6"/>
      <c r="E898" s="18"/>
      <c r="F898" s="17"/>
      <c r="G898" s="6"/>
      <c r="H898" s="18"/>
      <c r="I898" s="17"/>
      <c r="J898" s="6"/>
      <c r="K898" s="17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>
      <c r="A899" s="6"/>
      <c r="B899" s="110"/>
      <c r="C899" s="17"/>
      <c r="D899" s="6"/>
      <c r="E899" s="18"/>
      <c r="F899" s="17"/>
      <c r="G899" s="6"/>
      <c r="H899" s="18"/>
      <c r="I899" s="17"/>
      <c r="J899" s="6"/>
      <c r="K899" s="17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>
      <c r="A900" s="6"/>
      <c r="B900" s="110"/>
      <c r="C900" s="17"/>
      <c r="D900" s="6"/>
      <c r="E900" s="18"/>
      <c r="F900" s="17"/>
      <c r="G900" s="6"/>
      <c r="H900" s="18"/>
      <c r="I900" s="17"/>
      <c r="J900" s="6"/>
      <c r="K900" s="17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>
      <c r="A901" s="6"/>
      <c r="B901" s="110"/>
      <c r="C901" s="17"/>
      <c r="D901" s="6"/>
      <c r="E901" s="18"/>
      <c r="F901" s="17"/>
      <c r="G901" s="6"/>
      <c r="H901" s="18"/>
      <c r="I901" s="17"/>
      <c r="J901" s="6"/>
      <c r="K901" s="17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>
      <c r="A902" s="6"/>
      <c r="B902" s="110"/>
      <c r="C902" s="17"/>
      <c r="D902" s="6"/>
      <c r="E902" s="18"/>
      <c r="F902" s="17"/>
      <c r="G902" s="6"/>
      <c r="H902" s="18"/>
      <c r="I902" s="17"/>
      <c r="J902" s="6"/>
      <c r="K902" s="17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>
      <c r="A903" s="6"/>
      <c r="B903" s="110"/>
      <c r="C903" s="17"/>
      <c r="D903" s="6"/>
      <c r="E903" s="18"/>
      <c r="F903" s="17"/>
      <c r="G903" s="6"/>
      <c r="H903" s="18"/>
      <c r="I903" s="17"/>
      <c r="J903" s="6"/>
      <c r="K903" s="17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>
      <c r="A904" s="6"/>
      <c r="B904" s="110"/>
      <c r="C904" s="17"/>
      <c r="D904" s="6"/>
      <c r="E904" s="18"/>
      <c r="F904" s="17"/>
      <c r="G904" s="6"/>
      <c r="H904" s="18"/>
      <c r="I904" s="17"/>
      <c r="J904" s="6"/>
      <c r="K904" s="17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>
      <c r="A905" s="6"/>
      <c r="B905" s="110"/>
      <c r="C905" s="17"/>
      <c r="D905" s="6"/>
      <c r="E905" s="18"/>
      <c r="F905" s="17"/>
      <c r="G905" s="6"/>
      <c r="H905" s="18"/>
      <c r="I905" s="17"/>
      <c r="J905" s="6"/>
      <c r="K905" s="17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>
      <c r="A906" s="6"/>
      <c r="B906" s="110"/>
      <c r="C906" s="17"/>
      <c r="D906" s="6"/>
      <c r="E906" s="18"/>
      <c r="F906" s="17"/>
      <c r="G906" s="6"/>
      <c r="H906" s="18"/>
      <c r="I906" s="17"/>
      <c r="J906" s="6"/>
      <c r="K906" s="17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>
      <c r="A907" s="6"/>
      <c r="B907" s="110"/>
      <c r="C907" s="17"/>
      <c r="D907" s="6"/>
      <c r="E907" s="18"/>
      <c r="F907" s="17"/>
      <c r="G907" s="6"/>
      <c r="H907" s="18"/>
      <c r="I907" s="17"/>
      <c r="J907" s="6"/>
      <c r="K907" s="17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>
      <c r="A908" s="6"/>
      <c r="B908" s="110"/>
      <c r="C908" s="17"/>
      <c r="D908" s="6"/>
      <c r="E908" s="18"/>
      <c r="F908" s="17"/>
      <c r="G908" s="6"/>
      <c r="H908" s="18"/>
      <c r="I908" s="17"/>
      <c r="J908" s="6"/>
      <c r="K908" s="17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>
      <c r="A909" s="6"/>
      <c r="B909" s="110"/>
      <c r="C909" s="17"/>
      <c r="D909" s="6"/>
      <c r="E909" s="18"/>
      <c r="F909" s="17"/>
      <c r="G909" s="6"/>
      <c r="H909" s="18"/>
      <c r="I909" s="17"/>
      <c r="J909" s="6"/>
      <c r="K909" s="17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>
      <c r="A910" s="6"/>
      <c r="B910" s="110"/>
      <c r="C910" s="17"/>
      <c r="D910" s="6"/>
      <c r="E910" s="18"/>
      <c r="F910" s="17"/>
      <c r="G910" s="6"/>
      <c r="H910" s="18"/>
      <c r="I910" s="17"/>
      <c r="J910" s="6"/>
      <c r="K910" s="17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>
      <c r="A911" s="6"/>
      <c r="B911" s="110"/>
      <c r="C911" s="17"/>
      <c r="D911" s="6"/>
      <c r="E911" s="18"/>
      <c r="F911" s="17"/>
      <c r="G911" s="6"/>
      <c r="H911" s="18"/>
      <c r="I911" s="17"/>
      <c r="J911" s="6"/>
      <c r="K911" s="17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>
      <c r="A912" s="6"/>
      <c r="B912" s="110"/>
      <c r="C912" s="17"/>
      <c r="D912" s="6"/>
      <c r="E912" s="18"/>
      <c r="F912" s="17"/>
      <c r="G912" s="6"/>
      <c r="H912" s="18"/>
      <c r="I912" s="17"/>
      <c r="J912" s="6"/>
      <c r="K912" s="17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>
      <c r="A913" s="6"/>
      <c r="B913" s="110"/>
      <c r="C913" s="17"/>
      <c r="D913" s="6"/>
      <c r="E913" s="18"/>
      <c r="F913" s="17"/>
      <c r="G913" s="6"/>
      <c r="H913" s="18"/>
      <c r="I913" s="17"/>
      <c r="J913" s="6"/>
      <c r="K913" s="17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>
      <c r="A914" s="6"/>
      <c r="B914" s="110"/>
      <c r="C914" s="17"/>
      <c r="D914" s="6"/>
      <c r="E914" s="18"/>
      <c r="F914" s="17"/>
      <c r="G914" s="6"/>
      <c r="H914" s="18"/>
      <c r="I914" s="17"/>
      <c r="J914" s="6"/>
      <c r="K914" s="17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>
      <c r="A915" s="6"/>
      <c r="B915" s="110"/>
      <c r="C915" s="17"/>
      <c r="D915" s="6"/>
      <c r="E915" s="18"/>
      <c r="F915" s="17"/>
      <c r="G915" s="6"/>
      <c r="H915" s="18"/>
      <c r="I915" s="17"/>
      <c r="J915" s="6"/>
      <c r="K915" s="17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>
      <c r="A916" s="6"/>
      <c r="B916" s="110"/>
      <c r="C916" s="17"/>
      <c r="D916" s="6"/>
      <c r="E916" s="18"/>
      <c r="F916" s="17"/>
      <c r="G916" s="6"/>
      <c r="H916" s="18"/>
      <c r="I916" s="17"/>
      <c r="J916" s="6"/>
      <c r="K916" s="17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>
      <c r="A917" s="6"/>
      <c r="B917" s="110"/>
      <c r="C917" s="17"/>
      <c r="D917" s="6"/>
      <c r="E917" s="18"/>
      <c r="F917" s="17"/>
      <c r="G917" s="6"/>
      <c r="H917" s="18"/>
      <c r="I917" s="17"/>
      <c r="J917" s="6"/>
      <c r="K917" s="17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>
      <c r="A918" s="6"/>
      <c r="B918" s="110"/>
      <c r="C918" s="17"/>
      <c r="D918" s="6"/>
      <c r="E918" s="18"/>
      <c r="F918" s="17"/>
      <c r="G918" s="6"/>
      <c r="H918" s="18"/>
      <c r="I918" s="17"/>
      <c r="J918" s="6"/>
      <c r="K918" s="17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>
      <c r="A919" s="6"/>
      <c r="B919" s="110"/>
      <c r="C919" s="17"/>
      <c r="D919" s="6"/>
      <c r="E919" s="18"/>
      <c r="F919" s="17"/>
      <c r="G919" s="6"/>
      <c r="H919" s="18"/>
      <c r="I919" s="17"/>
      <c r="J919" s="6"/>
      <c r="K919" s="17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>
      <c r="A920" s="6"/>
      <c r="B920" s="110"/>
      <c r="C920" s="17"/>
      <c r="D920" s="6"/>
      <c r="E920" s="18"/>
      <c r="F920" s="17"/>
      <c r="G920" s="6"/>
      <c r="H920" s="18"/>
      <c r="I920" s="17"/>
      <c r="J920" s="6"/>
      <c r="K920" s="17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>
      <c r="A921" s="6"/>
      <c r="B921" s="110"/>
      <c r="C921" s="17"/>
      <c r="D921" s="6"/>
      <c r="E921" s="18"/>
      <c r="F921" s="17"/>
      <c r="G921" s="6"/>
      <c r="H921" s="18"/>
      <c r="I921" s="17"/>
      <c r="J921" s="6"/>
      <c r="K921" s="17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>
      <c r="A922" s="6"/>
      <c r="B922" s="110"/>
      <c r="C922" s="17"/>
      <c r="D922" s="6"/>
      <c r="E922" s="18"/>
      <c r="F922" s="17"/>
      <c r="G922" s="6"/>
      <c r="H922" s="18"/>
      <c r="I922" s="17"/>
      <c r="J922" s="6"/>
      <c r="K922" s="17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>
      <c r="A923" s="6"/>
      <c r="B923" s="110"/>
      <c r="C923" s="17"/>
      <c r="D923" s="6"/>
      <c r="E923" s="18"/>
      <c r="F923" s="17"/>
      <c r="G923" s="6"/>
      <c r="H923" s="18"/>
      <c r="I923" s="17"/>
      <c r="J923" s="6"/>
      <c r="K923" s="17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>
      <c r="A924" s="6"/>
      <c r="B924" s="110"/>
      <c r="C924" s="17"/>
      <c r="D924" s="6"/>
      <c r="E924" s="18"/>
      <c r="F924" s="17"/>
      <c r="G924" s="6"/>
      <c r="H924" s="18"/>
      <c r="I924" s="17"/>
      <c r="J924" s="6"/>
      <c r="K924" s="17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>
      <c r="A925" s="6"/>
      <c r="B925" s="110"/>
      <c r="C925" s="17"/>
      <c r="D925" s="6"/>
      <c r="E925" s="18"/>
      <c r="F925" s="17"/>
      <c r="G925" s="6"/>
      <c r="H925" s="18"/>
      <c r="I925" s="17"/>
      <c r="J925" s="6"/>
      <c r="K925" s="17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>
      <c r="A926" s="6"/>
      <c r="B926" s="110"/>
      <c r="C926" s="17"/>
      <c r="D926" s="6"/>
      <c r="E926" s="18"/>
      <c r="F926" s="17"/>
      <c r="G926" s="6"/>
      <c r="H926" s="18"/>
      <c r="I926" s="17"/>
      <c r="J926" s="6"/>
      <c r="K926" s="17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>
      <c r="A927" s="6"/>
      <c r="B927" s="110"/>
      <c r="C927" s="17"/>
      <c r="D927" s="6"/>
      <c r="E927" s="18"/>
      <c r="F927" s="17"/>
      <c r="G927" s="6"/>
      <c r="H927" s="18"/>
      <c r="I927" s="17"/>
      <c r="J927" s="6"/>
      <c r="K927" s="17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>
      <c r="A928" s="6"/>
      <c r="B928" s="110"/>
      <c r="C928" s="17"/>
      <c r="D928" s="6"/>
      <c r="E928" s="18"/>
      <c r="F928" s="17"/>
      <c r="G928" s="6"/>
      <c r="H928" s="18"/>
      <c r="I928" s="17"/>
      <c r="J928" s="6"/>
      <c r="K928" s="17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>
      <c r="A929" s="6"/>
      <c r="B929" s="110"/>
      <c r="C929" s="17"/>
      <c r="D929" s="6"/>
      <c r="E929" s="18"/>
      <c r="F929" s="17"/>
      <c r="G929" s="6"/>
      <c r="H929" s="18"/>
      <c r="I929" s="17"/>
      <c r="J929" s="6"/>
      <c r="K929" s="17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>
      <c r="A930" s="6"/>
      <c r="B930" s="110"/>
      <c r="C930" s="17"/>
      <c r="D930" s="6"/>
      <c r="E930" s="18"/>
      <c r="F930" s="17"/>
      <c r="G930" s="6"/>
      <c r="H930" s="18"/>
      <c r="I930" s="17"/>
      <c r="J930" s="6"/>
      <c r="K930" s="17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>
      <c r="A931" s="6"/>
      <c r="B931" s="110"/>
      <c r="C931" s="17"/>
      <c r="D931" s="6"/>
      <c r="E931" s="18"/>
      <c r="F931" s="17"/>
      <c r="G931" s="6"/>
      <c r="H931" s="18"/>
      <c r="I931" s="17"/>
      <c r="J931" s="6"/>
      <c r="K931" s="17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>
      <c r="A932" s="6"/>
      <c r="B932" s="110"/>
      <c r="C932" s="17"/>
      <c r="D932" s="6"/>
      <c r="E932" s="18"/>
      <c r="F932" s="17"/>
      <c r="G932" s="6"/>
      <c r="H932" s="18"/>
      <c r="I932" s="17"/>
      <c r="J932" s="6"/>
      <c r="K932" s="17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>
      <c r="A933" s="6"/>
      <c r="B933" s="110"/>
      <c r="C933" s="17"/>
      <c r="D933" s="6"/>
      <c r="E933" s="18"/>
      <c r="F933" s="17"/>
      <c r="G933" s="6"/>
      <c r="H933" s="18"/>
      <c r="I933" s="17"/>
      <c r="J933" s="6"/>
      <c r="K933" s="17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>
      <c r="A934" s="6"/>
      <c r="B934" s="110"/>
      <c r="C934" s="17"/>
      <c r="D934" s="6"/>
      <c r="E934" s="18"/>
      <c r="F934" s="17"/>
      <c r="G934" s="6"/>
      <c r="H934" s="18"/>
      <c r="I934" s="17"/>
      <c r="J934" s="6"/>
      <c r="K934" s="17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>
      <c r="A935" s="6"/>
      <c r="B935" s="110"/>
      <c r="C935" s="17"/>
      <c r="D935" s="6"/>
      <c r="E935" s="18"/>
      <c r="F935" s="17"/>
      <c r="G935" s="6"/>
      <c r="H935" s="18"/>
      <c r="I935" s="17"/>
      <c r="J935" s="6"/>
      <c r="K935" s="17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>
      <c r="A936" s="6"/>
      <c r="B936" s="110"/>
      <c r="C936" s="17"/>
      <c r="D936" s="6"/>
      <c r="E936" s="18"/>
      <c r="F936" s="17"/>
      <c r="G936" s="6"/>
      <c r="H936" s="18"/>
      <c r="I936" s="17"/>
      <c r="J936" s="6"/>
      <c r="K936" s="17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>
      <c r="A937" s="6"/>
      <c r="B937" s="110"/>
      <c r="C937" s="17"/>
      <c r="D937" s="6"/>
      <c r="E937" s="18"/>
      <c r="F937" s="17"/>
      <c r="G937" s="6"/>
      <c r="H937" s="18"/>
      <c r="I937" s="17"/>
      <c r="J937" s="6"/>
      <c r="K937" s="17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>
      <c r="A938" s="6"/>
      <c r="B938" s="110"/>
      <c r="C938" s="17"/>
      <c r="D938" s="6"/>
      <c r="E938" s="18"/>
      <c r="F938" s="17"/>
      <c r="G938" s="6"/>
      <c r="H938" s="18"/>
      <c r="I938" s="17"/>
      <c r="J938" s="6"/>
      <c r="K938" s="17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>
      <c r="A939" s="6"/>
      <c r="B939" s="110"/>
      <c r="C939" s="17"/>
      <c r="D939" s="6"/>
      <c r="E939" s="18"/>
      <c r="F939" s="17"/>
      <c r="G939" s="6"/>
      <c r="H939" s="18"/>
      <c r="I939" s="17"/>
      <c r="J939" s="6"/>
      <c r="K939" s="17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>
      <c r="A940" s="6"/>
      <c r="B940" s="110"/>
      <c r="C940" s="17"/>
      <c r="D940" s="6"/>
      <c r="E940" s="18"/>
      <c r="F940" s="17"/>
      <c r="G940" s="6"/>
      <c r="H940" s="18"/>
      <c r="I940" s="17"/>
      <c r="J940" s="6"/>
      <c r="K940" s="17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>
      <c r="A941" s="6"/>
      <c r="B941" s="110"/>
      <c r="C941" s="17"/>
      <c r="D941" s="6"/>
      <c r="E941" s="18"/>
      <c r="F941" s="17"/>
      <c r="G941" s="6"/>
      <c r="H941" s="18"/>
      <c r="I941" s="17"/>
      <c r="J941" s="6"/>
      <c r="K941" s="17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>
      <c r="A942" s="6"/>
      <c r="B942" s="110"/>
      <c r="C942" s="17"/>
      <c r="D942" s="6"/>
      <c r="E942" s="18"/>
      <c r="F942" s="17"/>
      <c r="G942" s="6"/>
      <c r="H942" s="18"/>
      <c r="I942" s="17"/>
      <c r="J942" s="6"/>
      <c r="K942" s="17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>
      <c r="A943" s="6"/>
      <c r="B943" s="110"/>
      <c r="C943" s="17"/>
      <c r="D943" s="6"/>
      <c r="E943" s="18"/>
      <c r="F943" s="17"/>
      <c r="G943" s="6"/>
      <c r="H943" s="18"/>
      <c r="I943" s="17"/>
      <c r="J943" s="6"/>
      <c r="K943" s="17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>
      <c r="A944" s="6"/>
      <c r="B944" s="110"/>
      <c r="C944" s="17"/>
      <c r="D944" s="6"/>
      <c r="E944" s="18"/>
      <c r="F944" s="17"/>
      <c r="G944" s="6"/>
      <c r="H944" s="18"/>
      <c r="I944" s="17"/>
      <c r="J944" s="6"/>
      <c r="K944" s="17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>
      <c r="A945" s="6"/>
      <c r="B945" s="110"/>
      <c r="C945" s="17"/>
      <c r="D945" s="6"/>
      <c r="E945" s="18"/>
      <c r="F945" s="17"/>
      <c r="G945" s="6"/>
      <c r="H945" s="18"/>
      <c r="I945" s="17"/>
      <c r="J945" s="6"/>
      <c r="K945" s="17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>
      <c r="A946" s="6"/>
      <c r="B946" s="110"/>
      <c r="C946" s="17"/>
      <c r="D946" s="6"/>
      <c r="E946" s="18"/>
      <c r="F946" s="17"/>
      <c r="G946" s="6"/>
      <c r="H946" s="18"/>
      <c r="I946" s="17"/>
      <c r="J946" s="6"/>
      <c r="K946" s="17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>
      <c r="A947" s="6"/>
      <c r="B947" s="110"/>
      <c r="C947" s="17"/>
      <c r="D947" s="6"/>
      <c r="E947" s="18"/>
      <c r="F947" s="17"/>
      <c r="G947" s="6"/>
      <c r="H947" s="18"/>
      <c r="I947" s="17"/>
      <c r="J947" s="6"/>
      <c r="K947" s="17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>
      <c r="A948" s="6"/>
      <c r="B948" s="110"/>
      <c r="C948" s="17"/>
      <c r="D948" s="6"/>
      <c r="E948" s="18"/>
      <c r="F948" s="17"/>
      <c r="G948" s="6"/>
      <c r="H948" s="18"/>
      <c r="I948" s="17"/>
      <c r="J948" s="6"/>
      <c r="K948" s="17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>
      <c r="A949" s="6"/>
      <c r="B949" s="110"/>
      <c r="C949" s="17"/>
      <c r="D949" s="6"/>
      <c r="E949" s="18"/>
      <c r="F949" s="17"/>
      <c r="G949" s="6"/>
      <c r="H949" s="18"/>
      <c r="I949" s="17"/>
      <c r="J949" s="6"/>
      <c r="K949" s="17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>
      <c r="A950" s="6"/>
      <c r="B950" s="110"/>
      <c r="C950" s="17"/>
      <c r="D950" s="6"/>
      <c r="E950" s="18"/>
      <c r="F950" s="17"/>
      <c r="G950" s="6"/>
      <c r="H950" s="18"/>
      <c r="I950" s="17"/>
      <c r="J950" s="6"/>
      <c r="K950" s="17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>
      <c r="A951" s="6"/>
      <c r="B951" s="110"/>
      <c r="C951" s="17"/>
      <c r="D951" s="6"/>
      <c r="E951" s="18"/>
      <c r="F951" s="17"/>
      <c r="G951" s="6"/>
      <c r="H951" s="18"/>
      <c r="I951" s="17"/>
      <c r="J951" s="6"/>
      <c r="K951" s="17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>
      <c r="A952" s="6"/>
      <c r="B952" s="110"/>
      <c r="C952" s="17"/>
      <c r="D952" s="6"/>
      <c r="E952" s="18"/>
      <c r="F952" s="17"/>
      <c r="G952" s="6"/>
      <c r="H952" s="18"/>
      <c r="I952" s="17"/>
      <c r="J952" s="6"/>
      <c r="K952" s="17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>
      <c r="A953" s="6"/>
      <c r="B953" s="110"/>
      <c r="C953" s="17"/>
      <c r="D953" s="6"/>
      <c r="E953" s="18"/>
      <c r="F953" s="17"/>
      <c r="G953" s="6"/>
      <c r="H953" s="18"/>
      <c r="I953" s="17"/>
      <c r="J953" s="6"/>
      <c r="K953" s="17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>
      <c r="A954" s="6"/>
      <c r="B954" s="110"/>
      <c r="C954" s="17"/>
      <c r="D954" s="6"/>
      <c r="E954" s="18"/>
      <c r="F954" s="17"/>
      <c r="G954" s="6"/>
      <c r="H954" s="18"/>
      <c r="I954" s="17"/>
      <c r="J954" s="6"/>
      <c r="K954" s="17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>
      <c r="A955" s="6"/>
      <c r="B955" s="110"/>
      <c r="C955" s="17"/>
      <c r="D955" s="6"/>
      <c r="E955" s="18"/>
      <c r="F955" s="17"/>
      <c r="G955" s="6"/>
      <c r="H955" s="18"/>
      <c r="I955" s="17"/>
      <c r="J955" s="6"/>
      <c r="K955" s="17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>
      <c r="A956" s="6"/>
      <c r="B956" s="110"/>
      <c r="C956" s="17"/>
      <c r="D956" s="6"/>
      <c r="E956" s="18"/>
      <c r="F956" s="17"/>
      <c r="G956" s="6"/>
      <c r="H956" s="18"/>
      <c r="I956" s="17"/>
      <c r="J956" s="6"/>
      <c r="K956" s="17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>
      <c r="A957" s="6"/>
      <c r="B957" s="110"/>
      <c r="C957" s="17"/>
      <c r="D957" s="6"/>
      <c r="E957" s="18"/>
      <c r="F957" s="17"/>
      <c r="G957" s="6"/>
      <c r="H957" s="18"/>
      <c r="I957" s="17"/>
      <c r="J957" s="6"/>
      <c r="K957" s="17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>
      <c r="A958" s="6"/>
      <c r="B958" s="110"/>
      <c r="C958" s="17"/>
      <c r="D958" s="6"/>
      <c r="E958" s="18"/>
      <c r="F958" s="17"/>
      <c r="G958" s="6"/>
      <c r="H958" s="18"/>
      <c r="I958" s="17"/>
      <c r="J958" s="6"/>
      <c r="K958" s="17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>
      <c r="A959" s="6"/>
      <c r="B959" s="110"/>
      <c r="C959" s="17"/>
      <c r="D959" s="6"/>
      <c r="E959" s="18"/>
      <c r="F959" s="17"/>
      <c r="G959" s="6"/>
      <c r="H959" s="18"/>
      <c r="I959" s="17"/>
      <c r="J959" s="6"/>
      <c r="K959" s="17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>
      <c r="A960" s="6"/>
      <c r="B960" s="110"/>
      <c r="C960" s="17"/>
      <c r="D960" s="6"/>
      <c r="E960" s="18"/>
      <c r="F960" s="17"/>
      <c r="G960" s="6"/>
      <c r="H960" s="18"/>
      <c r="I960" s="17"/>
      <c r="J960" s="6"/>
      <c r="K960" s="17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>
      <c r="A961" s="6"/>
      <c r="B961" s="110"/>
      <c r="C961" s="17"/>
      <c r="D961" s="6"/>
      <c r="E961" s="18"/>
      <c r="F961" s="17"/>
      <c r="G961" s="6"/>
      <c r="H961" s="18"/>
      <c r="I961" s="17"/>
      <c r="J961" s="6"/>
      <c r="K961" s="17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>
      <c r="A962" s="6"/>
      <c r="B962" s="110"/>
      <c r="C962" s="17"/>
      <c r="D962" s="6"/>
      <c r="E962" s="18"/>
      <c r="F962" s="17"/>
      <c r="G962" s="6"/>
      <c r="H962" s="18"/>
      <c r="I962" s="17"/>
      <c r="J962" s="6"/>
      <c r="K962" s="17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>
      <c r="A963" s="6"/>
      <c r="B963" s="110"/>
      <c r="C963" s="17"/>
      <c r="D963" s="6"/>
      <c r="E963" s="18"/>
      <c r="F963" s="17"/>
      <c r="G963" s="6"/>
      <c r="H963" s="18"/>
      <c r="I963" s="17"/>
      <c r="J963" s="6"/>
      <c r="K963" s="17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>
      <c r="A964" s="6"/>
      <c r="B964" s="110"/>
      <c r="C964" s="17"/>
      <c r="D964" s="6"/>
      <c r="E964" s="18"/>
      <c r="F964" s="17"/>
      <c r="G964" s="6"/>
      <c r="H964" s="18"/>
      <c r="I964" s="17"/>
      <c r="J964" s="6"/>
      <c r="K964" s="17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>
      <c r="A965" s="6"/>
      <c r="B965" s="110"/>
      <c r="C965" s="17"/>
      <c r="D965" s="6"/>
      <c r="E965" s="18"/>
      <c r="F965" s="17"/>
      <c r="G965" s="6"/>
      <c r="H965" s="18"/>
      <c r="I965" s="17"/>
      <c r="J965" s="6"/>
      <c r="K965" s="17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>
      <c r="A966" s="6"/>
      <c r="B966" s="110"/>
      <c r="C966" s="17"/>
      <c r="D966" s="6"/>
      <c r="E966" s="18"/>
      <c r="F966" s="17"/>
      <c r="G966" s="6"/>
      <c r="H966" s="18"/>
      <c r="I966" s="17"/>
      <c r="J966" s="6"/>
      <c r="K966" s="17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>
      <c r="A967" s="6"/>
      <c r="B967" s="110"/>
      <c r="C967" s="17"/>
      <c r="D967" s="6"/>
      <c r="E967" s="18"/>
      <c r="F967" s="17"/>
      <c r="G967" s="6"/>
      <c r="H967" s="18"/>
      <c r="I967" s="17"/>
      <c r="J967" s="6"/>
      <c r="K967" s="17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>
      <c r="A968" s="6"/>
      <c r="B968" s="110"/>
      <c r="C968" s="17"/>
      <c r="D968" s="6"/>
      <c r="E968" s="18"/>
      <c r="F968" s="17"/>
      <c r="G968" s="6"/>
      <c r="H968" s="18"/>
      <c r="I968" s="17"/>
      <c r="J968" s="6"/>
      <c r="K968" s="17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>
      <c r="A969" s="6"/>
      <c r="B969" s="110"/>
      <c r="C969" s="17"/>
      <c r="D969" s="6"/>
      <c r="E969" s="18"/>
      <c r="F969" s="17"/>
      <c r="G969" s="6"/>
      <c r="H969" s="18"/>
      <c r="I969" s="17"/>
      <c r="J969" s="6"/>
      <c r="K969" s="17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>
      <c r="A970" s="6"/>
      <c r="B970" s="110"/>
      <c r="C970" s="17"/>
      <c r="D970" s="6"/>
      <c r="E970" s="18"/>
      <c r="F970" s="17"/>
      <c r="G970" s="6"/>
      <c r="H970" s="18"/>
      <c r="I970" s="17"/>
      <c r="J970" s="6"/>
      <c r="K970" s="17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>
      <c r="A971" s="6"/>
      <c r="B971" s="110"/>
      <c r="C971" s="17"/>
      <c r="D971" s="6"/>
      <c r="E971" s="18"/>
      <c r="F971" s="17"/>
      <c r="G971" s="6"/>
      <c r="H971" s="18"/>
      <c r="I971" s="17"/>
      <c r="J971" s="6"/>
      <c r="K971" s="17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>
      <c r="A972" s="6"/>
      <c r="B972" s="110"/>
      <c r="C972" s="17"/>
      <c r="D972" s="6"/>
      <c r="E972" s="18"/>
      <c r="F972" s="17"/>
      <c r="G972" s="6"/>
      <c r="H972" s="18"/>
      <c r="I972" s="17"/>
      <c r="J972" s="6"/>
      <c r="K972" s="17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>
      <c r="A973" s="6"/>
      <c r="B973" s="110"/>
      <c r="C973" s="17"/>
      <c r="D973" s="6"/>
      <c r="E973" s="18"/>
      <c r="F973" s="17"/>
      <c r="G973" s="6"/>
      <c r="H973" s="18"/>
      <c r="I973" s="17"/>
      <c r="J973" s="6"/>
      <c r="K973" s="17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>
      <c r="A974" s="6"/>
      <c r="B974" s="110"/>
      <c r="C974" s="17"/>
      <c r="D974" s="6"/>
      <c r="E974" s="18"/>
      <c r="F974" s="17"/>
      <c r="G974" s="6"/>
      <c r="H974" s="18"/>
      <c r="I974" s="17"/>
      <c r="J974" s="6"/>
      <c r="K974" s="17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>
      <c r="A975" s="6"/>
      <c r="B975" s="110"/>
      <c r="C975" s="17"/>
      <c r="D975" s="6"/>
      <c r="E975" s="18"/>
      <c r="F975" s="17"/>
      <c r="G975" s="6"/>
      <c r="H975" s="18"/>
      <c r="I975" s="17"/>
      <c r="J975" s="6"/>
      <c r="K975" s="17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>
      <c r="A976" s="6"/>
      <c r="B976" s="110"/>
      <c r="C976" s="17"/>
      <c r="D976" s="6"/>
      <c r="E976" s="18"/>
      <c r="F976" s="17"/>
      <c r="G976" s="6"/>
      <c r="H976" s="18"/>
      <c r="I976" s="17"/>
      <c r="J976" s="6"/>
      <c r="K976" s="17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>
      <c r="A977" s="6"/>
      <c r="B977" s="110"/>
      <c r="C977" s="17"/>
      <c r="D977" s="6"/>
      <c r="E977" s="18"/>
      <c r="F977" s="17"/>
      <c r="G977" s="6"/>
      <c r="H977" s="18"/>
      <c r="I977" s="17"/>
      <c r="J977" s="6"/>
      <c r="K977" s="17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>
      <c r="A978" s="6"/>
      <c r="B978" s="110"/>
      <c r="C978" s="17"/>
      <c r="D978" s="6"/>
      <c r="E978" s="18"/>
      <c r="F978" s="17"/>
      <c r="G978" s="6"/>
      <c r="H978" s="18"/>
      <c r="I978" s="17"/>
      <c r="J978" s="6"/>
      <c r="K978" s="17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>
      <c r="A979" s="6"/>
      <c r="B979" s="110"/>
      <c r="C979" s="17"/>
      <c r="D979" s="6"/>
      <c r="E979" s="18"/>
      <c r="F979" s="17"/>
      <c r="G979" s="6"/>
      <c r="H979" s="18"/>
      <c r="I979" s="17"/>
      <c r="J979" s="6"/>
      <c r="K979" s="17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>
      <c r="A980" s="6"/>
      <c r="B980" s="110"/>
      <c r="C980" s="17"/>
      <c r="D980" s="6"/>
      <c r="E980" s="18"/>
      <c r="F980" s="17"/>
      <c r="G980" s="6"/>
      <c r="H980" s="18"/>
      <c r="I980" s="17"/>
      <c r="J980" s="6"/>
      <c r="K980" s="17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>
      <c r="A981" s="6"/>
      <c r="B981" s="110"/>
      <c r="C981" s="17"/>
      <c r="D981" s="6"/>
      <c r="E981" s="18"/>
      <c r="F981" s="17"/>
      <c r="G981" s="6"/>
      <c r="H981" s="18"/>
      <c r="I981" s="17"/>
      <c r="J981" s="6"/>
      <c r="K981" s="17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>
      <c r="A982" s="6"/>
      <c r="B982" s="110"/>
      <c r="C982" s="17"/>
      <c r="D982" s="6"/>
      <c r="E982" s="18"/>
      <c r="F982" s="17"/>
      <c r="G982" s="6"/>
      <c r="H982" s="18"/>
      <c r="I982" s="17"/>
      <c r="J982" s="6"/>
      <c r="K982" s="17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>
      <c r="A983" s="6"/>
      <c r="B983" s="110"/>
      <c r="C983" s="17"/>
      <c r="D983" s="6"/>
      <c r="E983" s="18"/>
      <c r="F983" s="17"/>
      <c r="G983" s="6"/>
      <c r="H983" s="18"/>
      <c r="I983" s="17"/>
      <c r="J983" s="6"/>
      <c r="K983" s="17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>
      <c r="A984" s="6"/>
      <c r="B984" s="110"/>
      <c r="C984" s="17"/>
      <c r="D984" s="6"/>
      <c r="E984" s="18"/>
      <c r="F984" s="17"/>
      <c r="G984" s="6"/>
      <c r="H984" s="18"/>
      <c r="I984" s="17"/>
      <c r="J984" s="6"/>
      <c r="K984" s="17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>
      <c r="A985" s="6"/>
      <c r="B985" s="110"/>
      <c r="C985" s="17"/>
      <c r="D985" s="6"/>
      <c r="E985" s="18"/>
      <c r="F985" s="17"/>
      <c r="G985" s="6"/>
      <c r="H985" s="18"/>
      <c r="I985" s="17"/>
      <c r="J985" s="6"/>
      <c r="K985" s="17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>
      <c r="A986" s="6"/>
      <c r="B986" s="110"/>
      <c r="C986" s="17"/>
      <c r="D986" s="6"/>
      <c r="E986" s="18"/>
      <c r="F986" s="17"/>
      <c r="G986" s="6"/>
      <c r="H986" s="18"/>
      <c r="I986" s="17"/>
      <c r="J986" s="6"/>
      <c r="K986" s="17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>
      <c r="A987" s="6"/>
      <c r="B987" s="110"/>
      <c r="C987" s="17"/>
      <c r="D987" s="6"/>
      <c r="E987" s="18"/>
      <c r="F987" s="17"/>
      <c r="G987" s="6"/>
      <c r="H987" s="18"/>
      <c r="I987" s="17"/>
      <c r="J987" s="6"/>
      <c r="K987" s="17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>
      <c r="A988" s="6"/>
      <c r="B988" s="110"/>
      <c r="C988" s="17"/>
      <c r="D988" s="6"/>
      <c r="E988" s="18"/>
      <c r="F988" s="17"/>
      <c r="G988" s="6"/>
      <c r="H988" s="18"/>
      <c r="I988" s="17"/>
      <c r="J988" s="6"/>
      <c r="K988" s="17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>
      <c r="A989" s="6"/>
      <c r="B989" s="110"/>
      <c r="C989" s="17"/>
      <c r="D989" s="6"/>
      <c r="E989" s="18"/>
      <c r="F989" s="17"/>
      <c r="G989" s="6"/>
      <c r="H989" s="18"/>
      <c r="I989" s="17"/>
      <c r="J989" s="6"/>
      <c r="K989" s="17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>
      <c r="A990" s="6"/>
      <c r="B990" s="110"/>
      <c r="C990" s="17"/>
      <c r="D990" s="6"/>
      <c r="E990" s="18"/>
      <c r="F990" s="17"/>
      <c r="G990" s="6"/>
      <c r="H990" s="18"/>
      <c r="I990" s="17"/>
      <c r="J990" s="6"/>
      <c r="K990" s="17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>
      <c r="A991" s="6"/>
      <c r="B991" s="110"/>
      <c r="C991" s="17"/>
      <c r="D991" s="6"/>
      <c r="E991" s="18"/>
      <c r="F991" s="17"/>
      <c r="G991" s="6"/>
      <c r="H991" s="18"/>
      <c r="I991" s="17"/>
      <c r="J991" s="6"/>
      <c r="K991" s="17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>
      <c r="A992" s="6"/>
      <c r="B992" s="110"/>
      <c r="C992" s="17"/>
      <c r="D992" s="6"/>
      <c r="E992" s="18"/>
      <c r="F992" s="17"/>
      <c r="G992" s="6"/>
      <c r="H992" s="18"/>
      <c r="I992" s="17"/>
      <c r="J992" s="6"/>
      <c r="K992" s="17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>
      <c r="A993" s="6"/>
      <c r="B993" s="110"/>
      <c r="C993" s="17"/>
      <c r="D993" s="6"/>
      <c r="E993" s="18"/>
      <c r="F993" s="17"/>
      <c r="G993" s="6"/>
      <c r="H993" s="18"/>
      <c r="I993" s="17"/>
      <c r="J993" s="6"/>
      <c r="K993" s="17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>
      <c r="A994" s="6"/>
      <c r="B994" s="110"/>
      <c r="C994" s="17"/>
      <c r="D994" s="6"/>
      <c r="E994" s="18"/>
      <c r="F994" s="17"/>
      <c r="G994" s="6"/>
      <c r="H994" s="18"/>
      <c r="I994" s="17"/>
      <c r="J994" s="6"/>
      <c r="K994" s="17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>
      <c r="A995" s="6"/>
      <c r="B995" s="110"/>
      <c r="C995" s="17"/>
      <c r="D995" s="6"/>
      <c r="E995" s="18"/>
      <c r="F995" s="17"/>
      <c r="G995" s="6"/>
      <c r="H995" s="18"/>
      <c r="I995" s="17"/>
      <c r="J995" s="6"/>
      <c r="K995" s="17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>
      <c r="A996" s="6"/>
      <c r="B996" s="110"/>
      <c r="C996" s="17"/>
      <c r="D996" s="6"/>
      <c r="E996" s="18"/>
      <c r="F996" s="17"/>
      <c r="G996" s="6"/>
      <c r="H996" s="18"/>
      <c r="I996" s="17"/>
      <c r="J996" s="6"/>
      <c r="K996" s="17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>
      <c r="A997" s="6"/>
      <c r="B997" s="110"/>
      <c r="C997" s="17"/>
      <c r="D997" s="6"/>
      <c r="E997" s="18"/>
      <c r="F997" s="17"/>
      <c r="G997" s="6"/>
      <c r="H997" s="18"/>
      <c r="I997" s="17"/>
      <c r="J997" s="6"/>
      <c r="K997" s="17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>
      <c r="A998" s="6"/>
      <c r="B998" s="110"/>
      <c r="C998" s="17"/>
      <c r="D998" s="6"/>
      <c r="E998" s="18"/>
      <c r="F998" s="17"/>
      <c r="G998" s="6"/>
      <c r="H998" s="18"/>
      <c r="I998" s="17"/>
      <c r="J998" s="6"/>
      <c r="K998" s="17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>
      <c r="A999" s="6"/>
      <c r="B999" s="110"/>
      <c r="C999" s="17"/>
      <c r="D999" s="6"/>
      <c r="E999" s="18"/>
      <c r="F999" s="17"/>
      <c r="G999" s="6"/>
      <c r="H999" s="18"/>
      <c r="I999" s="17"/>
      <c r="J999" s="6"/>
      <c r="K999" s="17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>
      <c r="A1000" s="6"/>
      <c r="B1000" s="110"/>
      <c r="C1000" s="17"/>
      <c r="D1000" s="6"/>
      <c r="E1000" s="18"/>
      <c r="F1000" s="17"/>
      <c r="G1000" s="6"/>
      <c r="H1000" s="18"/>
      <c r="I1000" s="17"/>
      <c r="J1000" s="6"/>
      <c r="K1000" s="17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  <row r="1001">
      <c r="A1001" s="6"/>
      <c r="B1001" s="110"/>
      <c r="C1001" s="17"/>
      <c r="D1001" s="6"/>
      <c r="E1001" s="18"/>
      <c r="F1001" s="17"/>
      <c r="G1001" s="6"/>
      <c r="H1001" s="18"/>
      <c r="I1001" s="17"/>
      <c r="J1001" s="6"/>
      <c r="K1001" s="17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</row>
    <row r="1002">
      <c r="A1002" s="6"/>
      <c r="B1002" s="110"/>
      <c r="C1002" s="17"/>
      <c r="D1002" s="6"/>
      <c r="E1002" s="18"/>
      <c r="F1002" s="17"/>
      <c r="G1002" s="6"/>
      <c r="H1002" s="18"/>
      <c r="I1002" s="17"/>
      <c r="J1002" s="6"/>
      <c r="K1002" s="17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</row>
    <row r="1003">
      <c r="A1003" s="6"/>
      <c r="B1003" s="110"/>
      <c r="C1003" s="17"/>
      <c r="D1003" s="6"/>
      <c r="E1003" s="18"/>
      <c r="F1003" s="17"/>
      <c r="G1003" s="6"/>
      <c r="H1003" s="18"/>
      <c r="I1003" s="17"/>
      <c r="J1003" s="6"/>
      <c r="K1003" s="17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</row>
    <row r="1004">
      <c r="A1004" s="6"/>
      <c r="B1004" s="110"/>
      <c r="C1004" s="17"/>
      <c r="D1004" s="6"/>
      <c r="E1004" s="18"/>
      <c r="F1004" s="17"/>
      <c r="G1004" s="6"/>
      <c r="H1004" s="18"/>
      <c r="I1004" s="17"/>
      <c r="J1004" s="6"/>
      <c r="K1004" s="17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</row>
    <row r="1005">
      <c r="A1005" s="6"/>
      <c r="B1005" s="110"/>
      <c r="C1005" s="17"/>
      <c r="D1005" s="6"/>
      <c r="E1005" s="18"/>
      <c r="F1005" s="17"/>
      <c r="G1005" s="6"/>
      <c r="H1005" s="18"/>
      <c r="I1005" s="17"/>
      <c r="J1005" s="6"/>
      <c r="K1005" s="17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</row>
    <row r="1006">
      <c r="A1006" s="6"/>
      <c r="B1006" s="110"/>
      <c r="C1006" s="17"/>
      <c r="D1006" s="6"/>
      <c r="E1006" s="18"/>
      <c r="F1006" s="17"/>
      <c r="G1006" s="6"/>
      <c r="H1006" s="18"/>
      <c r="I1006" s="17"/>
      <c r="J1006" s="6"/>
      <c r="K1006" s="17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</row>
    <row r="1007">
      <c r="A1007" s="6"/>
      <c r="B1007" s="110"/>
      <c r="C1007" s="17"/>
      <c r="D1007" s="6"/>
      <c r="E1007" s="18"/>
      <c r="F1007" s="17"/>
      <c r="G1007" s="6"/>
      <c r="H1007" s="18"/>
      <c r="I1007" s="17"/>
      <c r="J1007" s="6"/>
      <c r="K1007" s="17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</row>
    <row r="1008">
      <c r="A1008" s="6"/>
      <c r="B1008" s="110"/>
      <c r="C1008" s="17"/>
      <c r="D1008" s="6"/>
      <c r="E1008" s="18"/>
      <c r="F1008" s="17"/>
      <c r="G1008" s="6"/>
      <c r="H1008" s="18"/>
      <c r="I1008" s="17"/>
      <c r="J1008" s="6"/>
      <c r="K1008" s="17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</row>
    <row r="1009">
      <c r="A1009" s="6"/>
      <c r="B1009" s="110"/>
      <c r="C1009" s="17"/>
      <c r="D1009" s="6"/>
      <c r="E1009" s="18"/>
      <c r="F1009" s="17"/>
      <c r="G1009" s="6"/>
      <c r="H1009" s="18"/>
      <c r="I1009" s="17"/>
      <c r="J1009" s="6"/>
      <c r="K1009" s="17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</row>
    <row r="1010">
      <c r="A1010" s="6"/>
      <c r="B1010" s="110"/>
      <c r="C1010" s="17"/>
      <c r="D1010" s="6"/>
      <c r="E1010" s="18"/>
      <c r="F1010" s="17"/>
      <c r="G1010" s="6"/>
      <c r="H1010" s="18"/>
      <c r="I1010" s="17"/>
      <c r="J1010" s="6"/>
      <c r="K1010" s="17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</row>
    <row r="1011">
      <c r="A1011" s="6"/>
      <c r="B1011" s="110"/>
      <c r="C1011" s="17"/>
      <c r="D1011" s="6"/>
      <c r="E1011" s="18"/>
      <c r="F1011" s="17"/>
      <c r="G1011" s="6"/>
      <c r="H1011" s="18"/>
      <c r="I1011" s="17"/>
      <c r="J1011" s="6"/>
      <c r="K1011" s="17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</row>
    <row r="1012">
      <c r="A1012" s="6"/>
      <c r="B1012" s="110"/>
      <c r="C1012" s="17"/>
      <c r="D1012" s="6"/>
      <c r="E1012" s="18"/>
      <c r="F1012" s="17"/>
      <c r="G1012" s="6"/>
      <c r="H1012" s="18"/>
      <c r="I1012" s="17"/>
      <c r="J1012" s="6"/>
      <c r="K1012" s="17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</row>
    <row r="1013">
      <c r="A1013" s="6"/>
      <c r="B1013" s="110"/>
      <c r="C1013" s="17"/>
      <c r="D1013" s="6"/>
      <c r="E1013" s="18"/>
      <c r="F1013" s="17"/>
      <c r="G1013" s="6"/>
      <c r="H1013" s="18"/>
      <c r="I1013" s="17"/>
      <c r="J1013" s="6"/>
      <c r="K1013" s="17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</row>
    <row r="1014">
      <c r="A1014" s="6"/>
      <c r="B1014" s="110"/>
      <c r="C1014" s="17"/>
      <c r="D1014" s="6"/>
      <c r="E1014" s="18"/>
      <c r="F1014" s="17"/>
      <c r="G1014" s="6"/>
      <c r="H1014" s="18"/>
      <c r="I1014" s="17"/>
      <c r="J1014" s="6"/>
      <c r="K1014" s="17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</row>
    <row r="1015">
      <c r="A1015" s="6"/>
      <c r="B1015" s="110"/>
      <c r="C1015" s="17"/>
      <c r="D1015" s="6"/>
      <c r="E1015" s="18"/>
      <c r="F1015" s="17"/>
      <c r="G1015" s="6"/>
      <c r="H1015" s="18"/>
      <c r="I1015" s="17"/>
      <c r="J1015" s="6"/>
      <c r="K1015" s="17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</row>
    <row r="1016">
      <c r="A1016" s="6"/>
      <c r="B1016" s="110"/>
      <c r="C1016" s="17"/>
      <c r="D1016" s="6"/>
      <c r="E1016" s="18"/>
      <c r="F1016" s="17"/>
      <c r="G1016" s="6"/>
      <c r="H1016" s="18"/>
      <c r="I1016" s="17"/>
      <c r="J1016" s="6"/>
      <c r="K1016" s="17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</row>
    <row r="1017">
      <c r="A1017" s="6"/>
      <c r="B1017" s="110"/>
      <c r="C1017" s="17"/>
      <c r="D1017" s="6"/>
      <c r="E1017" s="18"/>
      <c r="F1017" s="17"/>
      <c r="G1017" s="6"/>
      <c r="H1017" s="18"/>
      <c r="I1017" s="17"/>
      <c r="J1017" s="6"/>
      <c r="K1017" s="17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</row>
    <row r="1018">
      <c r="A1018" s="6"/>
      <c r="B1018" s="110"/>
      <c r="C1018" s="17"/>
      <c r="D1018" s="6"/>
      <c r="E1018" s="18"/>
      <c r="F1018" s="17"/>
      <c r="G1018" s="6"/>
      <c r="H1018" s="18"/>
      <c r="I1018" s="17"/>
      <c r="J1018" s="6"/>
      <c r="K1018" s="17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</row>
    <row r="1019">
      <c r="A1019" s="6"/>
      <c r="B1019" s="110"/>
      <c r="C1019" s="17"/>
      <c r="D1019" s="6"/>
      <c r="E1019" s="18"/>
      <c r="F1019" s="17"/>
      <c r="G1019" s="6"/>
      <c r="H1019" s="18"/>
      <c r="I1019" s="17"/>
      <c r="J1019" s="6"/>
      <c r="K1019" s="17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</row>
    <row r="1020">
      <c r="A1020" s="6"/>
      <c r="B1020" s="110"/>
      <c r="C1020" s="17"/>
      <c r="D1020" s="6"/>
      <c r="E1020" s="18"/>
      <c r="F1020" s="17"/>
      <c r="G1020" s="6"/>
      <c r="H1020" s="18"/>
      <c r="I1020" s="17"/>
      <c r="J1020" s="6"/>
      <c r="K1020" s="17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</row>
    <row r="1021">
      <c r="A1021" s="6"/>
      <c r="B1021" s="110"/>
      <c r="C1021" s="17"/>
      <c r="D1021" s="6"/>
      <c r="E1021" s="18"/>
      <c r="F1021" s="17"/>
      <c r="G1021" s="6"/>
      <c r="H1021" s="18"/>
      <c r="I1021" s="17"/>
      <c r="J1021" s="6"/>
      <c r="K1021" s="17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</row>
    <row r="1022">
      <c r="A1022" s="6"/>
      <c r="B1022" s="110"/>
      <c r="C1022" s="17"/>
      <c r="D1022" s="6"/>
      <c r="E1022" s="18"/>
      <c r="F1022" s="17"/>
      <c r="G1022" s="6"/>
      <c r="H1022" s="18"/>
      <c r="I1022" s="17"/>
      <c r="J1022" s="6"/>
      <c r="K1022" s="17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</row>
    <row r="1023">
      <c r="A1023" s="6"/>
      <c r="B1023" s="110"/>
      <c r="C1023" s="17"/>
      <c r="D1023" s="6"/>
      <c r="E1023" s="18"/>
      <c r="F1023" s="17"/>
      <c r="G1023" s="6"/>
      <c r="H1023" s="18"/>
      <c r="I1023" s="17"/>
      <c r="J1023" s="6"/>
      <c r="K1023" s="17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</row>
    <row r="1024">
      <c r="A1024" s="6"/>
      <c r="B1024" s="110"/>
      <c r="C1024" s="17"/>
      <c r="D1024" s="6"/>
      <c r="E1024" s="18"/>
      <c r="F1024" s="17"/>
      <c r="G1024" s="6"/>
      <c r="H1024" s="18"/>
      <c r="I1024" s="17"/>
      <c r="J1024" s="6"/>
      <c r="K1024" s="17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</row>
    <row r="1025">
      <c r="A1025" s="6"/>
      <c r="B1025" s="110"/>
      <c r="C1025" s="17"/>
      <c r="D1025" s="6"/>
      <c r="E1025" s="18"/>
      <c r="F1025" s="17"/>
      <c r="G1025" s="6"/>
      <c r="H1025" s="18"/>
      <c r="I1025" s="17"/>
      <c r="J1025" s="6"/>
      <c r="K1025" s="17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</row>
    <row r="1026">
      <c r="A1026" s="6"/>
      <c r="B1026" s="110"/>
      <c r="C1026" s="17"/>
      <c r="D1026" s="6"/>
      <c r="E1026" s="18"/>
      <c r="F1026" s="17"/>
      <c r="G1026" s="6"/>
      <c r="H1026" s="18"/>
      <c r="I1026" s="17"/>
      <c r="J1026" s="6"/>
      <c r="K1026" s="17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</row>
    <row r="1027">
      <c r="A1027" s="6"/>
      <c r="B1027" s="110"/>
      <c r="C1027" s="17"/>
      <c r="D1027" s="6"/>
      <c r="E1027" s="18"/>
      <c r="F1027" s="17"/>
      <c r="G1027" s="6"/>
      <c r="H1027" s="18"/>
      <c r="I1027" s="17"/>
      <c r="J1027" s="6"/>
      <c r="K1027" s="17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</row>
    <row r="1028">
      <c r="A1028" s="6"/>
      <c r="B1028" s="110"/>
      <c r="C1028" s="17"/>
      <c r="D1028" s="6"/>
      <c r="E1028" s="18"/>
      <c r="F1028" s="17"/>
      <c r="G1028" s="6"/>
      <c r="H1028" s="18"/>
      <c r="I1028" s="17"/>
      <c r="J1028" s="6"/>
      <c r="K1028" s="17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</row>
    <row r="1029">
      <c r="A1029" s="6"/>
      <c r="B1029" s="110"/>
      <c r="C1029" s="17"/>
      <c r="D1029" s="6"/>
      <c r="E1029" s="18"/>
      <c r="F1029" s="17"/>
      <c r="G1029" s="6"/>
      <c r="H1029" s="18"/>
      <c r="I1029" s="17"/>
      <c r="J1029" s="6"/>
      <c r="K1029" s="17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</row>
    <row r="1030">
      <c r="A1030" s="6"/>
      <c r="B1030" s="110"/>
      <c r="C1030" s="17"/>
      <c r="D1030" s="6"/>
      <c r="E1030" s="18"/>
      <c r="F1030" s="17"/>
      <c r="G1030" s="6"/>
      <c r="H1030" s="18"/>
      <c r="I1030" s="17"/>
      <c r="J1030" s="6"/>
      <c r="K1030" s="17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</row>
    <row r="1031">
      <c r="A1031" s="6"/>
      <c r="B1031" s="110"/>
      <c r="C1031" s="17"/>
      <c r="D1031" s="6"/>
      <c r="E1031" s="18"/>
      <c r="F1031" s="17"/>
      <c r="G1031" s="6"/>
      <c r="H1031" s="18"/>
      <c r="I1031" s="17"/>
      <c r="J1031" s="6"/>
      <c r="K1031" s="17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</row>
    <row r="1032">
      <c r="A1032" s="6"/>
      <c r="B1032" s="110"/>
      <c r="C1032" s="17"/>
      <c r="D1032" s="6"/>
      <c r="E1032" s="18"/>
      <c r="F1032" s="17"/>
      <c r="G1032" s="6"/>
      <c r="H1032" s="18"/>
      <c r="I1032" s="17"/>
      <c r="J1032" s="6"/>
      <c r="K1032" s="17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</row>
    <row r="1033">
      <c r="A1033" s="6"/>
      <c r="B1033" s="110"/>
      <c r="C1033" s="17"/>
      <c r="D1033" s="6"/>
      <c r="E1033" s="18"/>
      <c r="F1033" s="17"/>
      <c r="G1033" s="6"/>
      <c r="H1033" s="18"/>
      <c r="I1033" s="17"/>
      <c r="J1033" s="6"/>
      <c r="K1033" s="17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</row>
    <row r="1034">
      <c r="A1034" s="6"/>
      <c r="B1034" s="110"/>
      <c r="C1034" s="17"/>
      <c r="D1034" s="6"/>
      <c r="E1034" s="18"/>
      <c r="F1034" s="17"/>
      <c r="G1034" s="6"/>
      <c r="H1034" s="18"/>
      <c r="I1034" s="17"/>
      <c r="J1034" s="6"/>
      <c r="K1034" s="17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</row>
    <row r="1035">
      <c r="A1035" s="6"/>
      <c r="B1035" s="110"/>
      <c r="C1035" s="17"/>
      <c r="D1035" s="6"/>
      <c r="E1035" s="18"/>
      <c r="F1035" s="17"/>
      <c r="G1035" s="6"/>
      <c r="H1035" s="18"/>
      <c r="I1035" s="17"/>
      <c r="J1035" s="6"/>
      <c r="K1035" s="17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</row>
    <row r="1036">
      <c r="A1036" s="6"/>
      <c r="B1036" s="110"/>
      <c r="C1036" s="17"/>
      <c r="D1036" s="6"/>
      <c r="E1036" s="18"/>
      <c r="F1036" s="17"/>
      <c r="G1036" s="6"/>
      <c r="H1036" s="18"/>
      <c r="I1036" s="17"/>
      <c r="J1036" s="6"/>
      <c r="K1036" s="17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</row>
    <row r="1037">
      <c r="A1037" s="6"/>
      <c r="B1037" s="110"/>
      <c r="C1037" s="17"/>
      <c r="D1037" s="6"/>
      <c r="E1037" s="18"/>
      <c r="F1037" s="17"/>
      <c r="G1037" s="6"/>
      <c r="H1037" s="18"/>
      <c r="I1037" s="17"/>
      <c r="J1037" s="6"/>
      <c r="K1037" s="17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</row>
    <row r="1038">
      <c r="A1038" s="6"/>
      <c r="B1038" s="110"/>
      <c r="C1038" s="17"/>
      <c r="D1038" s="6"/>
      <c r="E1038" s="18"/>
      <c r="F1038" s="17"/>
      <c r="G1038" s="6"/>
      <c r="H1038" s="18"/>
      <c r="I1038" s="17"/>
      <c r="J1038" s="6"/>
      <c r="K1038" s="17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</row>
  </sheetData>
  <mergeCells count="71">
    <mergeCell ref="A89:B89"/>
    <mergeCell ref="A90:B90"/>
    <mergeCell ref="A91:B91"/>
    <mergeCell ref="A92:B92"/>
    <mergeCell ref="A93:B93"/>
    <mergeCell ref="A94:B94"/>
    <mergeCell ref="A67:B67"/>
    <mergeCell ref="A68:B68"/>
    <mergeCell ref="A69:A72"/>
    <mergeCell ref="A73:B73"/>
    <mergeCell ref="A75:B75"/>
    <mergeCell ref="A76:A82"/>
    <mergeCell ref="A83:A88"/>
    <mergeCell ref="C76:E76"/>
    <mergeCell ref="C77:E77"/>
    <mergeCell ref="C78:E78"/>
    <mergeCell ref="C79:E79"/>
    <mergeCell ref="C80:E80"/>
    <mergeCell ref="C81:E81"/>
    <mergeCell ref="C82:E82"/>
    <mergeCell ref="C93:E93"/>
    <mergeCell ref="C94:E94"/>
    <mergeCell ref="C83:E83"/>
    <mergeCell ref="C84:E84"/>
    <mergeCell ref="C85:E85"/>
    <mergeCell ref="C86:E86"/>
    <mergeCell ref="C87:E87"/>
    <mergeCell ref="C88:E88"/>
    <mergeCell ref="C89:E89"/>
    <mergeCell ref="A1:B1"/>
    <mergeCell ref="C1:E1"/>
    <mergeCell ref="F1:H1"/>
    <mergeCell ref="I1:K1"/>
    <mergeCell ref="A2:B2"/>
    <mergeCell ref="C2:Y2"/>
    <mergeCell ref="A3:B3"/>
    <mergeCell ref="A4:B4"/>
    <mergeCell ref="C4:E4"/>
    <mergeCell ref="F4:H4"/>
    <mergeCell ref="I4:K4"/>
    <mergeCell ref="A5:A20"/>
    <mergeCell ref="A21:B21"/>
    <mergeCell ref="C21:Y21"/>
    <mergeCell ref="A22:B22"/>
    <mergeCell ref="C22:E22"/>
    <mergeCell ref="F22:H22"/>
    <mergeCell ref="A23:B23"/>
    <mergeCell ref="C24:E24"/>
    <mergeCell ref="F24:H24"/>
    <mergeCell ref="I24:K24"/>
    <mergeCell ref="A24:B24"/>
    <mergeCell ref="A25:A37"/>
    <mergeCell ref="A38:A39"/>
    <mergeCell ref="C65:E65"/>
    <mergeCell ref="A66:B66"/>
    <mergeCell ref="C66:E66"/>
    <mergeCell ref="C67:E67"/>
    <mergeCell ref="C68:E68"/>
    <mergeCell ref="C69:E69"/>
    <mergeCell ref="C70:E70"/>
    <mergeCell ref="C71:E71"/>
    <mergeCell ref="C72:E72"/>
    <mergeCell ref="C73:E73"/>
    <mergeCell ref="C75:E75"/>
    <mergeCell ref="C90:E90"/>
    <mergeCell ref="F90:H90"/>
    <mergeCell ref="C91:E91"/>
    <mergeCell ref="C92:E92"/>
    <mergeCell ref="F92:H92"/>
    <mergeCell ref="I92:K92"/>
    <mergeCell ref="F93:H9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2" width="18.0"/>
    <col customWidth="1" min="3" max="3" width="21.88"/>
  </cols>
  <sheetData>
    <row r="1">
      <c r="A1" s="111"/>
      <c r="B1" s="111"/>
      <c r="C1" s="112"/>
      <c r="D1" s="113" t="s">
        <v>109</v>
      </c>
      <c r="E1" s="114" t="s">
        <v>110</v>
      </c>
      <c r="F1" s="115" t="s">
        <v>111</v>
      </c>
      <c r="G1" s="116" t="s">
        <v>112</v>
      </c>
      <c r="H1" s="117" t="s">
        <v>113</v>
      </c>
      <c r="I1" s="118" t="s">
        <v>114</v>
      </c>
      <c r="J1" s="113" t="s">
        <v>115</v>
      </c>
    </row>
    <row r="2" ht="26.25" customHeight="1">
      <c r="A2" s="119"/>
      <c r="B2" s="119" t="s">
        <v>116</v>
      </c>
      <c r="D2" s="120"/>
    </row>
    <row r="3" ht="32.25" customHeight="1">
      <c r="A3" s="111" t="s">
        <v>117</v>
      </c>
      <c r="D3" s="121">
        <v>1890.0</v>
      </c>
      <c r="I3" s="122"/>
      <c r="J3" s="122"/>
    </row>
    <row r="4">
      <c r="A4" s="123" t="s">
        <v>77</v>
      </c>
      <c r="B4" s="124" t="s">
        <v>118</v>
      </c>
      <c r="C4" s="125">
        <v>0.24</v>
      </c>
      <c r="D4" s="126">
        <f>D3*C4</f>
        <v>453.6</v>
      </c>
      <c r="E4" s="82"/>
      <c r="F4" s="82"/>
      <c r="G4" s="82"/>
      <c r="H4" s="82"/>
      <c r="I4" s="127"/>
      <c r="J4" s="127"/>
      <c r="K4" s="128"/>
      <c r="L4" s="128"/>
      <c r="M4" s="128"/>
      <c r="N4" s="128"/>
      <c r="O4" s="128"/>
    </row>
    <row r="5">
      <c r="B5" s="129" t="s">
        <v>119</v>
      </c>
      <c r="C5" s="130">
        <v>0.01</v>
      </c>
      <c r="D5" s="131">
        <f>D3*C5</f>
        <v>18.9</v>
      </c>
      <c r="I5" s="122"/>
      <c r="J5" s="122"/>
    </row>
    <row r="6">
      <c r="B6" s="129" t="s">
        <v>75</v>
      </c>
      <c r="C6" s="132" t="s">
        <v>80</v>
      </c>
      <c r="D6" s="131">
        <v>30.0</v>
      </c>
      <c r="I6" s="122"/>
      <c r="J6" s="122"/>
    </row>
    <row r="7">
      <c r="C7" s="133" t="s">
        <v>120</v>
      </c>
      <c r="D7" s="131">
        <v>8.0</v>
      </c>
      <c r="I7" s="122"/>
      <c r="J7" s="122"/>
    </row>
    <row r="8">
      <c r="C8" s="132" t="s">
        <v>81</v>
      </c>
      <c r="D8" s="131">
        <v>80.0</v>
      </c>
      <c r="I8" s="122"/>
      <c r="J8" s="122"/>
    </row>
    <row r="9">
      <c r="C9" s="134" t="s">
        <v>82</v>
      </c>
      <c r="D9" s="131">
        <v>25.0</v>
      </c>
      <c r="I9" s="122"/>
      <c r="J9" s="122"/>
    </row>
    <row r="10">
      <c r="C10" s="135" t="s">
        <v>83</v>
      </c>
      <c r="D10" s="131">
        <v>0.0</v>
      </c>
      <c r="I10" s="136"/>
      <c r="J10" s="136"/>
    </row>
    <row r="11">
      <c r="B11" s="137"/>
      <c r="C11" s="138" t="s">
        <v>121</v>
      </c>
      <c r="D11" s="139">
        <f>225*0.08</f>
        <v>18</v>
      </c>
      <c r="E11" s="137"/>
      <c r="F11" s="137"/>
      <c r="G11" s="137"/>
      <c r="H11" s="137"/>
      <c r="I11" s="140"/>
      <c r="J11" s="140"/>
      <c r="K11" s="141"/>
      <c r="L11" s="141"/>
      <c r="M11" s="141"/>
      <c r="N11" s="141"/>
      <c r="O11" s="141"/>
    </row>
    <row r="12">
      <c r="A12" s="142" t="s">
        <v>84</v>
      </c>
      <c r="B12" s="143" t="s">
        <v>122</v>
      </c>
      <c r="C12" s="144" t="s">
        <v>86</v>
      </c>
      <c r="D12" s="139">
        <f>155000/1800</f>
        <v>86.11111111</v>
      </c>
      <c r="E12" s="137"/>
      <c r="F12" s="137"/>
      <c r="G12" s="137"/>
      <c r="H12" s="137"/>
      <c r="I12" s="145"/>
      <c r="J12" s="145"/>
      <c r="K12" s="141"/>
      <c r="L12" s="141"/>
      <c r="M12" s="141"/>
      <c r="N12" s="141"/>
      <c r="O12" s="141"/>
    </row>
    <row r="13">
      <c r="A13" s="146" t="s">
        <v>87</v>
      </c>
      <c r="B13" s="129" t="s">
        <v>123</v>
      </c>
      <c r="C13" s="147" t="s">
        <v>124</v>
      </c>
      <c r="D13" s="131">
        <f>'P&amp;L факт'!C76*9/1800</f>
        <v>10</v>
      </c>
      <c r="I13" s="122"/>
      <c r="J13" s="122"/>
    </row>
    <row r="14">
      <c r="C14" s="147" t="s">
        <v>125</v>
      </c>
      <c r="D14" s="131">
        <f>'P&amp;L факт'!C77/1800</f>
        <v>9.388888889</v>
      </c>
      <c r="I14" s="122"/>
      <c r="J14" s="122"/>
    </row>
    <row r="15">
      <c r="C15" s="147" t="s">
        <v>126</v>
      </c>
      <c r="D15" s="131">
        <f>'P&amp;L факт'!C78/1800</f>
        <v>1.611111111</v>
      </c>
      <c r="I15" s="122"/>
      <c r="J15" s="122"/>
    </row>
    <row r="16">
      <c r="C16" s="147" t="s">
        <v>127</v>
      </c>
      <c r="D16" s="131">
        <f>'P&amp;L факт'!C79/1800</f>
        <v>3.006666667</v>
      </c>
      <c r="I16" s="122"/>
      <c r="J16" s="122"/>
    </row>
    <row r="17">
      <c r="C17" s="133" t="s">
        <v>128</v>
      </c>
      <c r="D17" s="131">
        <f>'P&amp;L факт'!C80/1800</f>
        <v>2.5</v>
      </c>
      <c r="I17" s="122"/>
      <c r="J17" s="122"/>
    </row>
    <row r="18">
      <c r="C18" s="147" t="s">
        <v>129</v>
      </c>
      <c r="D18" s="131">
        <f>'P&amp;L факт'!C81*12/1800</f>
        <v>50</v>
      </c>
      <c r="I18" s="122"/>
      <c r="J18" s="122"/>
    </row>
    <row r="19">
      <c r="C19" s="148" t="s">
        <v>130</v>
      </c>
      <c r="D19" s="131">
        <f>'P&amp;L факт'!C82/1800</f>
        <v>0</v>
      </c>
      <c r="I19" s="122"/>
      <c r="J19" s="122"/>
    </row>
    <row r="20">
      <c r="B20" s="143" t="s">
        <v>96</v>
      </c>
      <c r="C20" s="144" t="s">
        <v>131</v>
      </c>
      <c r="D20" s="139">
        <f>(('P&amp;L факт'!C83+'P&amp;L факт'!C86+'P&amp;L факт'!C88)/3/12+('P&amp;L факт'!C84+'P&amp;L факт'!C85)/12+'P&amp;L факт'!C87/10/12)/500</f>
        <v>6.558</v>
      </c>
      <c r="E20" s="137"/>
      <c r="F20" s="137"/>
      <c r="G20" s="137"/>
      <c r="H20" s="137"/>
      <c r="I20" s="145"/>
      <c r="J20" s="145"/>
      <c r="K20" s="141"/>
      <c r="L20" s="141"/>
      <c r="M20" s="141"/>
      <c r="N20" s="141"/>
      <c r="O20" s="141"/>
    </row>
    <row r="21">
      <c r="A21" s="149" t="s">
        <v>132</v>
      </c>
      <c r="D21" s="150">
        <f>SUM(D4:H20)</f>
        <v>802.6757778</v>
      </c>
      <c r="I21" s="151"/>
      <c r="J21" s="151"/>
      <c r="K21" s="152"/>
      <c r="L21" s="152"/>
      <c r="M21" s="152"/>
      <c r="N21" s="152"/>
      <c r="O21" s="152"/>
    </row>
    <row r="22">
      <c r="A22" s="153" t="s">
        <v>133</v>
      </c>
      <c r="B22" s="82"/>
      <c r="C22" s="82"/>
      <c r="D22" s="154">
        <f>'Себестоимость продукта'!C3</f>
        <v>595.2620798</v>
      </c>
      <c r="E22" s="155">
        <f>'Себестоимость продукта'!D3</f>
        <v>577.6794806</v>
      </c>
      <c r="F22" s="156">
        <f>'Себестоимость продукта'!E3</f>
        <v>583.8341111</v>
      </c>
      <c r="G22" s="157">
        <f>'Себестоимость продукта'!F3</f>
        <v>579.2665078</v>
      </c>
      <c r="H22" s="158">
        <f>'Себестоимость продукта'!G3</f>
        <v>589.4794812</v>
      </c>
      <c r="I22" s="159"/>
      <c r="J22" s="159"/>
      <c r="K22" s="160"/>
      <c r="L22" s="160"/>
      <c r="M22" s="160"/>
      <c r="N22" s="160"/>
      <c r="O22" s="160"/>
    </row>
    <row r="23">
      <c r="A23" s="123" t="s">
        <v>134</v>
      </c>
      <c r="B23" s="82"/>
      <c r="C23" s="82"/>
      <c r="D23" s="161">
        <f>D24/D3</f>
        <v>0.2603503399</v>
      </c>
      <c r="E23" s="162">
        <f>E24/D3</f>
        <v>0.2696533025</v>
      </c>
      <c r="F23" s="163">
        <f>F24/D3</f>
        <v>0.2663968842</v>
      </c>
      <c r="G23" s="164">
        <f>G24/D3</f>
        <v>0.2688136055</v>
      </c>
      <c r="H23" s="165">
        <f>H24/D3</f>
        <v>0.2634099159</v>
      </c>
      <c r="I23" s="127"/>
      <c r="J23" s="127"/>
      <c r="K23" s="128"/>
      <c r="L23" s="128"/>
      <c r="M23" s="128"/>
      <c r="N23" s="128"/>
      <c r="O23" s="128"/>
    </row>
    <row r="24" ht="35.25" customHeight="1">
      <c r="A24" s="149" t="s">
        <v>135</v>
      </c>
      <c r="D24" s="166">
        <f>D3-D21-D22</f>
        <v>492.0621424</v>
      </c>
      <c r="E24" s="167">
        <f>D3-D21-E22</f>
        <v>509.6447417</v>
      </c>
      <c r="F24" s="168">
        <f>D3-D21-F22</f>
        <v>503.4901111</v>
      </c>
      <c r="G24" s="169">
        <f>D3-D21-G22</f>
        <v>508.0577144</v>
      </c>
      <c r="H24" s="170">
        <f>D3-D21-H22</f>
        <v>497.8447411</v>
      </c>
      <c r="I24" s="151"/>
      <c r="J24" s="151"/>
      <c r="K24" s="152"/>
      <c r="L24" s="171">
        <f>SUM(D24:H24)/5*175</f>
        <v>87888.48077</v>
      </c>
      <c r="M24" s="152"/>
      <c r="N24" s="152"/>
      <c r="O24" s="152"/>
    </row>
    <row r="25" ht="26.25" customHeight="1">
      <c r="A25" s="119"/>
      <c r="B25" s="119" t="s">
        <v>136</v>
      </c>
      <c r="D25" s="120"/>
    </row>
    <row r="26" ht="33.75" customHeight="1">
      <c r="A26" s="111" t="s">
        <v>117</v>
      </c>
      <c r="D26" s="121">
        <v>2190.0</v>
      </c>
    </row>
    <row r="27">
      <c r="A27" s="123" t="s">
        <v>77</v>
      </c>
      <c r="B27" s="124" t="s">
        <v>118</v>
      </c>
      <c r="C27" s="125">
        <v>0.24</v>
      </c>
      <c r="D27" s="126">
        <f>D26*C27</f>
        <v>525.6</v>
      </c>
      <c r="E27" s="82"/>
      <c r="F27" s="82"/>
      <c r="G27" s="82"/>
      <c r="H27" s="82"/>
      <c r="I27" s="82"/>
      <c r="J27" s="82"/>
      <c r="K27" s="128"/>
      <c r="L27" s="128"/>
      <c r="M27" s="128"/>
      <c r="N27" s="128"/>
      <c r="O27" s="128"/>
    </row>
    <row r="28">
      <c r="B28" s="129" t="s">
        <v>119</v>
      </c>
      <c r="C28" s="130">
        <v>0.01</v>
      </c>
      <c r="D28" s="131">
        <f>D26*C28</f>
        <v>21.9</v>
      </c>
    </row>
    <row r="29">
      <c r="B29" s="129" t="s">
        <v>75</v>
      </c>
      <c r="C29" s="132" t="s">
        <v>80</v>
      </c>
      <c r="D29" s="131">
        <v>40.0</v>
      </c>
    </row>
    <row r="30">
      <c r="C30" s="133" t="s">
        <v>120</v>
      </c>
      <c r="D30" s="131">
        <v>10.0</v>
      </c>
    </row>
    <row r="31">
      <c r="C31" s="132" t="s">
        <v>81</v>
      </c>
      <c r="D31" s="131">
        <v>110.0</v>
      </c>
    </row>
    <row r="32">
      <c r="C32" s="134" t="s">
        <v>82</v>
      </c>
      <c r="D32" s="131">
        <v>25.0</v>
      </c>
    </row>
    <row r="33">
      <c r="C33" s="135" t="s">
        <v>83</v>
      </c>
      <c r="D33" s="131">
        <v>0.0</v>
      </c>
    </row>
    <row r="34">
      <c r="B34" s="137"/>
      <c r="C34" s="138" t="s">
        <v>121</v>
      </c>
      <c r="D34" s="131">
        <f>305*0.08</f>
        <v>24.4</v>
      </c>
    </row>
    <row r="35">
      <c r="A35" s="142" t="s">
        <v>84</v>
      </c>
      <c r="B35" s="172" t="s">
        <v>122</v>
      </c>
      <c r="C35" s="173" t="s">
        <v>86</v>
      </c>
      <c r="D35" s="174">
        <f>155000/1800</f>
        <v>86.11111111</v>
      </c>
      <c r="E35" s="175"/>
      <c r="F35" s="175"/>
      <c r="G35" s="175"/>
      <c r="H35" s="175"/>
      <c r="I35" s="175"/>
      <c r="J35" s="175"/>
      <c r="K35" s="176"/>
      <c r="L35" s="176"/>
      <c r="M35" s="176"/>
      <c r="N35" s="176"/>
      <c r="O35" s="176"/>
    </row>
    <row r="36">
      <c r="A36" s="146" t="s">
        <v>87</v>
      </c>
      <c r="B36" s="129" t="s">
        <v>123</v>
      </c>
      <c r="C36" s="147" t="s">
        <v>124</v>
      </c>
      <c r="D36" s="131">
        <f>'P&amp;L факт'!C76*10/1800</f>
        <v>11.11111111</v>
      </c>
    </row>
    <row r="37">
      <c r="C37" s="147" t="s">
        <v>125</v>
      </c>
      <c r="D37" s="131">
        <f>'P&amp;L факт'!C77/1800</f>
        <v>9.388888889</v>
      </c>
    </row>
    <row r="38">
      <c r="C38" s="147" t="s">
        <v>126</v>
      </c>
      <c r="D38" s="131">
        <f>'P&amp;L факт'!C78/1800</f>
        <v>1.611111111</v>
      </c>
    </row>
    <row r="39">
      <c r="C39" s="147" t="s">
        <v>127</v>
      </c>
      <c r="D39" s="131">
        <f>'P&amp;L факт'!C79/1800</f>
        <v>3.006666667</v>
      </c>
    </row>
    <row r="40">
      <c r="C40" s="147" t="s">
        <v>129</v>
      </c>
      <c r="D40" s="131">
        <f>'P&amp;L факт'!C81*12/1800</f>
        <v>50</v>
      </c>
    </row>
    <row r="41">
      <c r="C41" s="148" t="s">
        <v>130</v>
      </c>
      <c r="D41" s="131">
        <f>'P&amp;L факт'!C82/1800</f>
        <v>0</v>
      </c>
    </row>
    <row r="42">
      <c r="B42" s="143" t="s">
        <v>96</v>
      </c>
      <c r="C42" s="144" t="s">
        <v>131</v>
      </c>
      <c r="D42" s="131">
        <f>(('P&amp;L факт'!C83+'P&amp;L факт'!C86+'P&amp;L факт'!C88)/3/12+('P&amp;L факт'!C84+'P&amp;L факт'!C85)/12+'P&amp;L факт'!C87/10/12)/500</f>
        <v>6.558</v>
      </c>
    </row>
    <row r="43">
      <c r="A43" s="149" t="s">
        <v>132</v>
      </c>
      <c r="D43" s="131">
        <f>SUM(D27:J42)</f>
        <v>924.6868889</v>
      </c>
    </row>
    <row r="44">
      <c r="A44" s="153" t="s">
        <v>133</v>
      </c>
      <c r="B44" s="82"/>
      <c r="C44" s="82"/>
      <c r="D44" s="177">
        <f>'Себестоимость продукта'!C26</f>
        <v>708.6388801</v>
      </c>
      <c r="E44" s="178">
        <f>'Себестоимость продукта'!D26</f>
        <v>676.4041148</v>
      </c>
      <c r="F44" s="179">
        <f>'Себестоимость продукта'!E26</f>
        <v>687.6876041</v>
      </c>
      <c r="G44" s="180">
        <f>'Себестоимость продукта'!F26</f>
        <v>679.3136648</v>
      </c>
      <c r="H44" s="181">
        <f>'Себестоимость продукта'!G26</f>
        <v>698.0374492</v>
      </c>
      <c r="I44" s="182">
        <f>'Себестоимость продукта'!H26</f>
        <v>707.2549075</v>
      </c>
      <c r="J44" s="183">
        <f>'Себестоимость продукта'!I26</f>
        <v>690.2841766</v>
      </c>
      <c r="K44" s="128"/>
      <c r="L44" s="128"/>
      <c r="M44" s="128"/>
      <c r="N44" s="128"/>
      <c r="O44" s="128"/>
    </row>
    <row r="45">
      <c r="A45" s="123" t="s">
        <v>134</v>
      </c>
      <c r="B45" s="82"/>
      <c r="C45" s="82"/>
      <c r="D45" s="161">
        <f>D46/D26</f>
        <v>0.2541891466</v>
      </c>
      <c r="E45" s="162">
        <f>E46/D26</f>
        <v>0.2689082175</v>
      </c>
      <c r="F45" s="163">
        <f>F46/D26</f>
        <v>0.2637559393</v>
      </c>
      <c r="G45" s="164">
        <f>G46/D26</f>
        <v>0.2675796559</v>
      </c>
      <c r="H45" s="165">
        <f>H46/D26</f>
        <v>0.2675796559</v>
      </c>
      <c r="I45" s="184">
        <f>I46/D26</f>
        <v>0.2548210975</v>
      </c>
      <c r="J45" s="185">
        <f>J46/D26</f>
        <v>0.2625702897</v>
      </c>
      <c r="K45" s="128"/>
      <c r="L45" s="128"/>
      <c r="M45" s="128"/>
      <c r="N45" s="128"/>
      <c r="O45" s="128"/>
    </row>
    <row r="46" ht="25.5" customHeight="1">
      <c r="A46" s="149" t="s">
        <v>135</v>
      </c>
      <c r="D46" s="166">
        <f>D26-D43-D44</f>
        <v>556.674231</v>
      </c>
      <c r="E46" s="167">
        <f>D26-D43-E44</f>
        <v>588.9089963</v>
      </c>
      <c r="F46" s="168">
        <f>D26-D43-F44</f>
        <v>577.625507</v>
      </c>
      <c r="G46" s="169">
        <f>D26-D43-G44</f>
        <v>585.9994463</v>
      </c>
      <c r="H46" s="170">
        <f>D26-D43-G44</f>
        <v>585.9994463</v>
      </c>
      <c r="I46" s="186">
        <f>D26-D43-I44</f>
        <v>558.0582036</v>
      </c>
      <c r="J46" s="166">
        <f>D26-D43-J44</f>
        <v>575.0289345</v>
      </c>
      <c r="K46" s="152"/>
      <c r="L46" s="171">
        <f>SUM(D46:J46)/7*225</f>
        <v>129480.9032</v>
      </c>
      <c r="M46" s="152"/>
      <c r="N46" s="152"/>
      <c r="O46" s="152"/>
    </row>
    <row r="47" ht="29.25" customHeight="1">
      <c r="A47" s="119"/>
      <c r="B47" s="119" t="s">
        <v>137</v>
      </c>
      <c r="D47" s="120"/>
    </row>
    <row r="48" ht="33.0" customHeight="1">
      <c r="A48" s="111" t="s">
        <v>117</v>
      </c>
      <c r="D48" s="136"/>
      <c r="E48" s="136"/>
      <c r="F48" s="122"/>
      <c r="G48" s="121">
        <v>2590.0</v>
      </c>
      <c r="K48" s="187"/>
      <c r="L48" s="187"/>
      <c r="M48" s="187"/>
    </row>
    <row r="49">
      <c r="A49" s="123" t="s">
        <v>77</v>
      </c>
      <c r="B49" s="124" t="s">
        <v>118</v>
      </c>
      <c r="C49" s="125">
        <v>0.24</v>
      </c>
      <c r="D49" s="188"/>
      <c r="E49" s="188"/>
      <c r="F49" s="127"/>
      <c r="G49" s="126">
        <f>G48*C49</f>
        <v>621.6</v>
      </c>
      <c r="H49" s="82"/>
      <c r="I49" s="82"/>
      <c r="J49" s="82"/>
      <c r="K49" s="128"/>
      <c r="L49" s="128"/>
      <c r="M49" s="128"/>
      <c r="N49" s="128"/>
      <c r="O49" s="128"/>
    </row>
    <row r="50">
      <c r="B50" s="129" t="s">
        <v>119</v>
      </c>
      <c r="C50" s="130">
        <v>0.01</v>
      </c>
      <c r="D50" s="136"/>
      <c r="E50" s="136"/>
      <c r="F50" s="122"/>
      <c r="G50" s="189">
        <f>G48*C50</f>
        <v>25.9</v>
      </c>
    </row>
    <row r="51">
      <c r="B51" s="129" t="s">
        <v>75</v>
      </c>
      <c r="C51" s="132" t="s">
        <v>80</v>
      </c>
      <c r="D51" s="136"/>
      <c r="E51" s="136"/>
      <c r="F51" s="122"/>
      <c r="G51" s="131">
        <v>50.0</v>
      </c>
    </row>
    <row r="52">
      <c r="C52" s="133" t="s">
        <v>120</v>
      </c>
      <c r="D52" s="136"/>
      <c r="E52" s="136"/>
      <c r="F52" s="122"/>
      <c r="G52" s="131">
        <v>11.0</v>
      </c>
    </row>
    <row r="53">
      <c r="C53" s="132" t="s">
        <v>81</v>
      </c>
      <c r="D53" s="136"/>
      <c r="E53" s="136"/>
      <c r="F53" s="122"/>
      <c r="G53" s="190">
        <v>120.0</v>
      </c>
      <c r="K53" s="151"/>
      <c r="L53" s="151"/>
      <c r="M53" s="151"/>
      <c r="N53" s="191"/>
      <c r="O53" s="191"/>
    </row>
    <row r="54">
      <c r="C54" s="134" t="s">
        <v>82</v>
      </c>
      <c r="D54" s="136"/>
      <c r="E54" s="136"/>
      <c r="F54" s="122"/>
      <c r="G54" s="131">
        <v>25.0</v>
      </c>
    </row>
    <row r="55">
      <c r="C55" s="135" t="s">
        <v>83</v>
      </c>
      <c r="D55" s="136"/>
      <c r="E55" s="136"/>
      <c r="F55" s="122"/>
      <c r="G55" s="131">
        <v>0.0</v>
      </c>
    </row>
    <row r="56">
      <c r="B56" s="137"/>
      <c r="C56" s="138" t="s">
        <v>121</v>
      </c>
      <c r="D56" s="140"/>
      <c r="E56" s="140"/>
      <c r="F56" s="145"/>
      <c r="G56" s="139">
        <f>355*0.08</f>
        <v>28.4</v>
      </c>
      <c r="H56" s="137"/>
      <c r="I56" s="137"/>
      <c r="J56" s="137"/>
      <c r="K56" s="141"/>
      <c r="L56" s="141"/>
      <c r="M56" s="141"/>
      <c r="N56" s="141"/>
      <c r="O56" s="141"/>
    </row>
    <row r="57">
      <c r="A57" s="142" t="s">
        <v>84</v>
      </c>
      <c r="B57" s="172" t="s">
        <v>122</v>
      </c>
      <c r="C57" s="173" t="s">
        <v>86</v>
      </c>
      <c r="D57" s="192"/>
      <c r="E57" s="192"/>
      <c r="F57" s="193"/>
      <c r="G57" s="194">
        <f>155000/1800</f>
        <v>86.11111111</v>
      </c>
      <c r="H57" s="175"/>
      <c r="I57" s="175"/>
      <c r="J57" s="175"/>
      <c r="K57" s="176"/>
      <c r="L57" s="176"/>
      <c r="M57" s="176"/>
      <c r="N57" s="176"/>
      <c r="O57" s="195"/>
    </row>
    <row r="58">
      <c r="A58" s="146" t="s">
        <v>87</v>
      </c>
      <c r="B58" s="129" t="s">
        <v>123</v>
      </c>
      <c r="C58" s="147" t="s">
        <v>124</v>
      </c>
      <c r="D58" s="136"/>
      <c r="E58" s="136"/>
      <c r="F58" s="122"/>
      <c r="G58" s="189">
        <f>'P&amp;L факт'!C76*10/1800</f>
        <v>11.11111111</v>
      </c>
    </row>
    <row r="59">
      <c r="C59" s="147" t="s">
        <v>125</v>
      </c>
      <c r="D59" s="136"/>
      <c r="E59" s="136"/>
      <c r="F59" s="122"/>
      <c r="G59" s="189">
        <f>'P&amp;L факт'!C77/1800</f>
        <v>9.388888889</v>
      </c>
    </row>
    <row r="60">
      <c r="C60" s="147" t="s">
        <v>126</v>
      </c>
      <c r="D60" s="136"/>
      <c r="E60" s="136"/>
      <c r="F60" s="122"/>
      <c r="G60" s="189">
        <f>'P&amp;L факт'!C78/1800</f>
        <v>1.611111111</v>
      </c>
    </row>
    <row r="61">
      <c r="C61" s="147" t="s">
        <v>127</v>
      </c>
      <c r="D61" s="136"/>
      <c r="E61" s="136"/>
      <c r="F61" s="122"/>
      <c r="G61" s="189">
        <f>'P&amp;L факт'!C79/1800</f>
        <v>3.006666667</v>
      </c>
    </row>
    <row r="62">
      <c r="C62" s="147" t="s">
        <v>129</v>
      </c>
      <c r="D62" s="136"/>
      <c r="E62" s="136"/>
      <c r="F62" s="122"/>
      <c r="G62" s="189">
        <f>'P&amp;L факт'!C81*12/1800</f>
        <v>50</v>
      </c>
    </row>
    <row r="63">
      <c r="C63" s="148" t="s">
        <v>130</v>
      </c>
      <c r="D63" s="136"/>
      <c r="E63" s="136"/>
      <c r="F63" s="122"/>
      <c r="G63" s="189">
        <f>'P&amp;L факт'!C82/1800</f>
        <v>0</v>
      </c>
    </row>
    <row r="64">
      <c r="A64" s="137"/>
      <c r="B64" s="143" t="s">
        <v>96</v>
      </c>
      <c r="C64" s="144" t="s">
        <v>131</v>
      </c>
      <c r="D64" s="140"/>
      <c r="E64" s="140"/>
      <c r="F64" s="145"/>
      <c r="G64" s="139">
        <f>(('P&amp;L факт'!C83+'P&amp;L факт'!C86+'P&amp;L факт'!C88)/3/12+('P&amp;L факт'!C84+'P&amp;L факт'!C85)/12+'P&amp;L факт'!C87/10/12)/500</f>
        <v>6.558</v>
      </c>
      <c r="H64" s="137"/>
      <c r="I64" s="137"/>
      <c r="J64" s="137"/>
      <c r="K64" s="141"/>
      <c r="L64" s="141"/>
      <c r="M64" s="141"/>
      <c r="N64" s="141"/>
      <c r="O64" s="141"/>
    </row>
    <row r="65">
      <c r="A65" s="149" t="s">
        <v>132</v>
      </c>
      <c r="D65" s="136"/>
      <c r="E65" s="136"/>
      <c r="F65" s="122"/>
      <c r="G65" s="189">
        <f>SUM(G49:J64)</f>
        <v>1049.686889</v>
      </c>
    </row>
    <row r="66">
      <c r="A66" s="153" t="s">
        <v>133</v>
      </c>
      <c r="B66" s="82"/>
      <c r="C66" s="82"/>
      <c r="D66" s="188"/>
      <c r="E66" s="188"/>
      <c r="F66" s="127"/>
      <c r="G66" s="180">
        <f>'Себестоимость продукта'!F49</f>
        <v>849.3495879</v>
      </c>
      <c r="H66" s="181">
        <f>'Себестоимость продукта'!G49</f>
        <v>879.1374268</v>
      </c>
      <c r="I66" s="182">
        <f>'Себестоимость продукта'!H49</f>
        <v>893.801565</v>
      </c>
      <c r="J66" s="183">
        <f>'Себестоимость продукта'!I49</f>
        <v>866.802675</v>
      </c>
      <c r="K66" s="128"/>
      <c r="L66" s="128"/>
      <c r="M66" s="128"/>
      <c r="N66" s="128"/>
      <c r="O66" s="128"/>
    </row>
    <row r="67">
      <c r="A67" s="123" t="s">
        <v>134</v>
      </c>
      <c r="B67" s="82"/>
      <c r="C67" s="82"/>
      <c r="D67" s="188"/>
      <c r="E67" s="188"/>
      <c r="F67" s="127"/>
      <c r="G67" s="164">
        <f>G68/G48</f>
        <v>0.2667812831</v>
      </c>
      <c r="H67" s="165">
        <f>H68/G48</f>
        <v>0.255280187</v>
      </c>
      <c r="I67" s="184">
        <f>I68/G48</f>
        <v>0.2496183576</v>
      </c>
      <c r="J67" s="185">
        <f>J68/G48</f>
        <v>0.2600426394</v>
      </c>
      <c r="K67" s="128"/>
      <c r="L67" s="128"/>
      <c r="M67" s="128"/>
      <c r="N67" s="128"/>
      <c r="O67" s="128"/>
    </row>
    <row r="68" ht="35.25" customHeight="1">
      <c r="A68" s="149" t="s">
        <v>135</v>
      </c>
      <c r="D68" s="151"/>
      <c r="E68" s="151"/>
      <c r="F68" s="151"/>
      <c r="G68" s="169">
        <f>G48-G65-G66</f>
        <v>690.9635232</v>
      </c>
      <c r="H68" s="170">
        <f>G48-G65-H66</f>
        <v>661.1756843</v>
      </c>
      <c r="I68" s="186">
        <f>G48-G65-I66</f>
        <v>646.5115462</v>
      </c>
      <c r="J68" s="166">
        <f>G48-G65-J66</f>
        <v>673.5104362</v>
      </c>
      <c r="K68" s="152"/>
      <c r="L68" s="196">
        <f>SUM(G68:J68)/4*100</f>
        <v>66804.02975</v>
      </c>
      <c r="M68" s="152"/>
      <c r="N68" s="152"/>
      <c r="O68" s="152"/>
    </row>
    <row r="69">
      <c r="A69" s="197"/>
      <c r="B69" s="197"/>
      <c r="C69" s="198"/>
      <c r="D69" s="136"/>
      <c r="E69" s="136"/>
      <c r="F69" s="136"/>
      <c r="G69" s="122"/>
      <c r="H69" s="122"/>
      <c r="I69" s="122"/>
      <c r="J69" s="122"/>
      <c r="K69" s="191"/>
      <c r="L69" s="191"/>
      <c r="M69" s="191"/>
      <c r="N69" s="191"/>
      <c r="O69" s="191"/>
    </row>
    <row r="70">
      <c r="A70" s="197"/>
      <c r="B70" s="197"/>
      <c r="C70" s="198"/>
      <c r="D70" s="136"/>
      <c r="E70" s="136"/>
      <c r="F70" s="136"/>
      <c r="G70" s="122"/>
      <c r="H70" s="122"/>
      <c r="I70" s="122"/>
      <c r="J70" s="122"/>
      <c r="K70" s="191"/>
      <c r="L70" s="191"/>
      <c r="M70" s="191"/>
      <c r="N70" s="191"/>
      <c r="O70" s="191"/>
    </row>
    <row r="71">
      <c r="A71" s="197"/>
      <c r="B71" s="197"/>
      <c r="C71" s="198"/>
      <c r="D71" s="136"/>
      <c r="E71" s="136"/>
      <c r="F71" s="136"/>
      <c r="G71" s="122"/>
      <c r="H71" s="122"/>
      <c r="I71" s="122"/>
      <c r="J71" s="122"/>
      <c r="K71" s="191"/>
      <c r="L71" s="191"/>
      <c r="M71" s="191"/>
      <c r="N71" s="191"/>
      <c r="O71" s="191"/>
    </row>
    <row r="72">
      <c r="A72" s="197"/>
      <c r="B72" s="197"/>
      <c r="C72" s="198"/>
      <c r="D72" s="136"/>
      <c r="E72" s="136"/>
      <c r="F72" s="136"/>
      <c r="G72" s="122"/>
      <c r="H72" s="122"/>
      <c r="I72" s="122"/>
      <c r="J72" s="122"/>
      <c r="K72" s="191"/>
      <c r="L72" s="191"/>
      <c r="M72" s="191"/>
      <c r="N72" s="191"/>
      <c r="O72" s="191"/>
    </row>
    <row r="73">
      <c r="A73" s="197"/>
      <c r="B73" s="197"/>
      <c r="C73" s="198"/>
      <c r="D73" s="122"/>
      <c r="E73" s="122"/>
      <c r="F73" s="122"/>
      <c r="G73" s="122"/>
      <c r="H73" s="122"/>
      <c r="I73" s="122"/>
      <c r="J73" s="122"/>
      <c r="K73" s="191"/>
      <c r="L73" s="191"/>
      <c r="M73" s="191"/>
      <c r="N73" s="191"/>
      <c r="O73" s="191"/>
    </row>
    <row r="74">
      <c r="A74" s="191"/>
      <c r="B74" s="191"/>
      <c r="C74" s="199"/>
      <c r="D74" s="122"/>
      <c r="E74" s="122"/>
      <c r="F74" s="122"/>
      <c r="G74" s="122"/>
      <c r="H74" s="122"/>
      <c r="I74" s="122"/>
      <c r="J74" s="122"/>
      <c r="K74" s="191"/>
      <c r="L74" s="191"/>
      <c r="M74" s="191"/>
      <c r="N74" s="191"/>
      <c r="O74" s="191"/>
    </row>
    <row r="75">
      <c r="A75" s="191"/>
      <c r="B75" s="191"/>
      <c r="C75" s="199"/>
      <c r="D75" s="122"/>
      <c r="E75" s="122"/>
      <c r="F75" s="122"/>
      <c r="G75" s="122"/>
      <c r="H75" s="122"/>
      <c r="I75" s="122"/>
      <c r="J75" s="122"/>
      <c r="K75" s="191"/>
      <c r="L75" s="191"/>
      <c r="M75" s="191"/>
      <c r="N75" s="191"/>
      <c r="O75" s="191"/>
    </row>
    <row r="76">
      <c r="A76" s="191"/>
      <c r="B76" s="191"/>
      <c r="C76" s="199"/>
      <c r="D76" s="122"/>
      <c r="E76" s="122"/>
      <c r="F76" s="122"/>
      <c r="G76" s="122"/>
      <c r="H76" s="122"/>
      <c r="I76" s="122"/>
      <c r="J76" s="122"/>
      <c r="K76" s="191"/>
      <c r="L76" s="191"/>
      <c r="M76" s="191"/>
      <c r="N76" s="191"/>
      <c r="O76" s="191"/>
    </row>
    <row r="77">
      <c r="A77" s="197"/>
      <c r="B77" s="197"/>
      <c r="C77" s="198"/>
      <c r="D77" s="136"/>
      <c r="E77" s="136"/>
      <c r="F77" s="136"/>
      <c r="G77" s="122"/>
      <c r="H77" s="122"/>
      <c r="I77" s="122"/>
      <c r="J77" s="122"/>
      <c r="K77" s="191"/>
      <c r="L77" s="191"/>
      <c r="M77" s="191"/>
      <c r="N77" s="191"/>
      <c r="O77" s="191"/>
    </row>
    <row r="78">
      <c r="A78" s="197"/>
      <c r="B78" s="197"/>
      <c r="C78" s="198"/>
      <c r="D78" s="136"/>
      <c r="E78" s="136"/>
      <c r="F78" s="122"/>
      <c r="G78" s="122"/>
      <c r="H78" s="122"/>
      <c r="I78" s="122"/>
      <c r="J78" s="122"/>
      <c r="K78" s="191"/>
      <c r="L78" s="191"/>
      <c r="M78" s="191"/>
      <c r="N78" s="191"/>
      <c r="O78" s="191"/>
    </row>
    <row r="79">
      <c r="A79" s="197"/>
      <c r="B79" s="197"/>
      <c r="C79" s="198"/>
      <c r="D79" s="136"/>
      <c r="E79" s="136"/>
      <c r="F79" s="136"/>
      <c r="G79" s="122"/>
      <c r="H79" s="122"/>
      <c r="I79" s="122"/>
      <c r="J79" s="122"/>
      <c r="K79" s="191"/>
      <c r="L79" s="191"/>
      <c r="M79" s="191"/>
      <c r="N79" s="191"/>
      <c r="O79" s="191"/>
    </row>
    <row r="80">
      <c r="A80" s="200"/>
      <c r="B80" s="200"/>
      <c r="C80" s="201"/>
      <c r="D80" s="202"/>
      <c r="G80" s="122"/>
      <c r="H80" s="122"/>
      <c r="I80" s="122"/>
      <c r="J80" s="122"/>
      <c r="K80" s="191"/>
      <c r="L80" s="191"/>
      <c r="M80" s="191"/>
      <c r="N80" s="191"/>
      <c r="O80" s="191"/>
    </row>
    <row r="81">
      <c r="A81" s="197"/>
      <c r="B81" s="197"/>
      <c r="C81" s="198"/>
      <c r="D81" s="136"/>
      <c r="E81" s="136"/>
      <c r="F81" s="136"/>
      <c r="G81" s="122"/>
      <c r="H81" s="122"/>
      <c r="I81" s="122"/>
      <c r="J81" s="122"/>
      <c r="K81" s="191"/>
      <c r="L81" s="191"/>
      <c r="M81" s="191"/>
      <c r="N81" s="191"/>
      <c r="O81" s="191"/>
    </row>
    <row r="82">
      <c r="A82" s="197"/>
      <c r="B82" s="197"/>
      <c r="C82" s="198"/>
      <c r="D82" s="136"/>
      <c r="E82" s="136"/>
      <c r="F82" s="136"/>
      <c r="G82" s="122"/>
      <c r="H82" s="122"/>
      <c r="I82" s="122"/>
      <c r="J82" s="122"/>
      <c r="K82" s="191"/>
      <c r="L82" s="191"/>
      <c r="M82" s="191"/>
      <c r="N82" s="191"/>
      <c r="O82" s="191"/>
    </row>
    <row r="83">
      <c r="A83" s="197"/>
      <c r="B83" s="197"/>
      <c r="C83" s="198"/>
      <c r="D83" s="136"/>
      <c r="E83" s="136"/>
      <c r="F83" s="136"/>
      <c r="G83" s="122"/>
      <c r="H83" s="122"/>
      <c r="I83" s="122"/>
      <c r="J83" s="122"/>
      <c r="K83" s="191"/>
      <c r="L83" s="191"/>
      <c r="M83" s="191"/>
      <c r="N83" s="191"/>
      <c r="O83" s="191"/>
    </row>
    <row r="84">
      <c r="A84" s="197"/>
      <c r="B84" s="197"/>
      <c r="C84" s="198"/>
      <c r="D84" s="136"/>
      <c r="E84" s="136"/>
      <c r="F84" s="136"/>
      <c r="G84" s="122"/>
      <c r="H84" s="122"/>
      <c r="I84" s="122"/>
      <c r="J84" s="122"/>
      <c r="K84" s="191"/>
      <c r="L84" s="191"/>
      <c r="M84" s="191"/>
      <c r="N84" s="191"/>
      <c r="O84" s="191"/>
    </row>
    <row r="85">
      <c r="A85" s="197"/>
      <c r="B85" s="197"/>
      <c r="C85" s="198"/>
      <c r="D85" s="122"/>
      <c r="E85" s="122"/>
      <c r="F85" s="122"/>
      <c r="G85" s="122"/>
      <c r="H85" s="122"/>
      <c r="I85" s="122"/>
      <c r="J85" s="122"/>
      <c r="K85" s="191"/>
      <c r="L85" s="191"/>
      <c r="M85" s="191"/>
      <c r="N85" s="191"/>
      <c r="O85" s="191"/>
    </row>
    <row r="86">
      <c r="A86" s="191"/>
      <c r="B86" s="191"/>
      <c r="C86" s="199"/>
      <c r="D86" s="122"/>
      <c r="E86" s="122"/>
      <c r="F86" s="122"/>
      <c r="G86" s="122"/>
      <c r="H86" s="122"/>
      <c r="I86" s="122"/>
      <c r="J86" s="122"/>
      <c r="K86" s="191"/>
      <c r="L86" s="191"/>
      <c r="M86" s="191"/>
      <c r="N86" s="191"/>
      <c r="O86" s="191"/>
    </row>
    <row r="87">
      <c r="A87" s="191"/>
      <c r="B87" s="191"/>
      <c r="C87" s="199"/>
      <c r="D87" s="122"/>
      <c r="E87" s="122"/>
      <c r="F87" s="122"/>
      <c r="G87" s="122"/>
      <c r="H87" s="122"/>
      <c r="I87" s="122"/>
      <c r="J87" s="122"/>
      <c r="K87" s="191"/>
      <c r="L87" s="191"/>
      <c r="M87" s="191"/>
      <c r="N87" s="191"/>
      <c r="O87" s="191"/>
    </row>
    <row r="88">
      <c r="A88" s="191"/>
      <c r="B88" s="191"/>
      <c r="C88" s="199"/>
      <c r="D88" s="122"/>
      <c r="E88" s="122"/>
      <c r="F88" s="122"/>
      <c r="G88" s="122"/>
      <c r="H88" s="122"/>
      <c r="I88" s="122"/>
      <c r="J88" s="122"/>
      <c r="K88" s="191"/>
      <c r="L88" s="191"/>
      <c r="M88" s="191"/>
      <c r="N88" s="191"/>
      <c r="O88" s="191"/>
    </row>
    <row r="89">
      <c r="A89" s="197"/>
      <c r="B89" s="197"/>
      <c r="C89" s="198"/>
      <c r="D89" s="136"/>
      <c r="E89" s="136"/>
      <c r="F89" s="136"/>
      <c r="G89" s="122"/>
      <c r="H89" s="122"/>
      <c r="I89" s="122"/>
      <c r="J89" s="122"/>
      <c r="K89" s="191"/>
      <c r="L89" s="191"/>
      <c r="M89" s="191"/>
      <c r="N89" s="191"/>
      <c r="O89" s="191"/>
    </row>
    <row r="90">
      <c r="A90" s="197"/>
      <c r="B90" s="197"/>
      <c r="C90" s="198"/>
      <c r="D90" s="136"/>
      <c r="E90" s="136"/>
      <c r="F90" s="122"/>
      <c r="G90" s="122"/>
      <c r="H90" s="122"/>
      <c r="I90" s="122"/>
      <c r="J90" s="122"/>
      <c r="K90" s="191"/>
      <c r="L90" s="191"/>
      <c r="M90" s="191"/>
      <c r="N90" s="191"/>
      <c r="O90" s="191"/>
    </row>
    <row r="91">
      <c r="A91" s="197"/>
      <c r="B91" s="197"/>
      <c r="C91" s="198"/>
      <c r="D91" s="136"/>
      <c r="E91" s="136"/>
      <c r="F91" s="136"/>
      <c r="G91" s="122"/>
      <c r="H91" s="122"/>
      <c r="I91" s="122"/>
      <c r="J91" s="122"/>
      <c r="K91" s="191"/>
      <c r="L91" s="191"/>
      <c r="M91" s="191"/>
      <c r="N91" s="191"/>
      <c r="O91" s="191"/>
    </row>
    <row r="92">
      <c r="A92" s="200"/>
      <c r="B92" s="200"/>
      <c r="C92" s="201"/>
      <c r="D92" s="202"/>
      <c r="G92" s="122"/>
      <c r="H92" s="122"/>
      <c r="I92" s="122"/>
      <c r="J92" s="122"/>
      <c r="K92" s="191"/>
      <c r="L92" s="191"/>
      <c r="M92" s="191"/>
      <c r="N92" s="191"/>
      <c r="O92" s="191"/>
    </row>
    <row r="93">
      <c r="A93" s="191"/>
      <c r="B93" s="191"/>
      <c r="C93" s="199"/>
      <c r="D93" s="122"/>
      <c r="E93" s="136"/>
      <c r="F93" s="136"/>
      <c r="G93" s="122"/>
      <c r="H93" s="122"/>
      <c r="I93" s="122"/>
      <c r="J93" s="122"/>
      <c r="K93" s="191"/>
      <c r="L93" s="191"/>
      <c r="M93" s="191"/>
      <c r="N93" s="191"/>
      <c r="O93" s="191"/>
    </row>
    <row r="94">
      <c r="A94" s="191"/>
      <c r="B94" s="191"/>
      <c r="C94" s="199"/>
      <c r="D94" s="136"/>
      <c r="E94" s="136"/>
      <c r="F94" s="136"/>
      <c r="G94" s="122"/>
      <c r="H94" s="122"/>
      <c r="I94" s="122"/>
      <c r="J94" s="122"/>
      <c r="K94" s="191"/>
      <c r="L94" s="191"/>
      <c r="M94" s="191"/>
      <c r="N94" s="191"/>
      <c r="O94" s="191"/>
    </row>
    <row r="95">
      <c r="A95" s="191"/>
      <c r="B95" s="191"/>
      <c r="C95" s="199"/>
      <c r="D95" s="136"/>
      <c r="E95" s="136"/>
      <c r="F95" s="136"/>
      <c r="G95" s="122"/>
      <c r="H95" s="122"/>
      <c r="I95" s="122"/>
      <c r="J95" s="122"/>
      <c r="K95" s="191"/>
      <c r="L95" s="191"/>
      <c r="M95" s="191"/>
      <c r="N95" s="191"/>
      <c r="O95" s="191"/>
    </row>
    <row r="96">
      <c r="A96" s="191"/>
      <c r="B96" s="191"/>
      <c r="C96" s="199"/>
      <c r="D96" s="136"/>
      <c r="E96" s="136"/>
      <c r="F96" s="136"/>
      <c r="G96" s="122"/>
      <c r="H96" s="122"/>
      <c r="I96" s="122"/>
      <c r="J96" s="122"/>
      <c r="K96" s="191"/>
      <c r="L96" s="191"/>
      <c r="M96" s="191"/>
      <c r="N96" s="191"/>
      <c r="O96" s="191"/>
    </row>
    <row r="97">
      <c r="A97" s="191"/>
      <c r="B97" s="191"/>
      <c r="C97" s="199"/>
      <c r="D97" s="122"/>
      <c r="E97" s="122"/>
      <c r="F97" s="122"/>
      <c r="G97" s="122"/>
      <c r="H97" s="122"/>
      <c r="I97" s="122"/>
      <c r="J97" s="122"/>
      <c r="K97" s="191"/>
      <c r="L97" s="191"/>
      <c r="M97" s="191"/>
      <c r="N97" s="191"/>
      <c r="O97" s="191"/>
    </row>
    <row r="98">
      <c r="A98" s="191"/>
      <c r="B98" s="191"/>
      <c r="C98" s="199"/>
      <c r="D98" s="122"/>
      <c r="E98" s="122"/>
      <c r="F98" s="122"/>
      <c r="G98" s="122"/>
      <c r="H98" s="122"/>
      <c r="I98" s="122"/>
      <c r="J98" s="122"/>
      <c r="K98" s="191"/>
      <c r="L98" s="191"/>
      <c r="M98" s="191"/>
      <c r="N98" s="191"/>
      <c r="O98" s="191"/>
    </row>
    <row r="99">
      <c r="A99" s="191"/>
      <c r="B99" s="191"/>
      <c r="C99" s="199"/>
      <c r="D99" s="122"/>
      <c r="E99" s="122"/>
      <c r="F99" s="122"/>
      <c r="G99" s="122"/>
      <c r="H99" s="122"/>
      <c r="I99" s="122"/>
      <c r="J99" s="122"/>
      <c r="K99" s="191"/>
      <c r="L99" s="191"/>
      <c r="M99" s="191"/>
      <c r="N99" s="191"/>
      <c r="O99" s="191"/>
    </row>
    <row r="100">
      <c r="A100" s="191"/>
      <c r="B100" s="191"/>
      <c r="C100" s="199"/>
      <c r="D100" s="122"/>
      <c r="E100" s="122"/>
      <c r="F100" s="122"/>
      <c r="G100" s="122"/>
      <c r="H100" s="122"/>
      <c r="I100" s="122"/>
      <c r="J100" s="122"/>
      <c r="K100" s="191"/>
      <c r="L100" s="191"/>
      <c r="M100" s="191"/>
      <c r="N100" s="191"/>
      <c r="O100" s="191"/>
    </row>
    <row r="101">
      <c r="A101" s="191"/>
      <c r="B101" s="191"/>
      <c r="C101" s="199"/>
      <c r="D101" s="136"/>
      <c r="E101" s="136"/>
      <c r="F101" s="136"/>
      <c r="G101" s="122"/>
      <c r="H101" s="122"/>
      <c r="I101" s="122"/>
      <c r="J101" s="122"/>
      <c r="K101" s="191"/>
      <c r="L101" s="191"/>
      <c r="M101" s="191"/>
      <c r="N101" s="191"/>
      <c r="O101" s="191"/>
    </row>
    <row r="102">
      <c r="A102" s="191"/>
      <c r="B102" s="191"/>
      <c r="C102" s="199"/>
      <c r="D102" s="136"/>
      <c r="E102" s="136"/>
      <c r="F102" s="122"/>
      <c r="G102" s="122"/>
      <c r="H102" s="122"/>
      <c r="I102" s="122"/>
      <c r="J102" s="122"/>
      <c r="K102" s="191"/>
      <c r="L102" s="191"/>
      <c r="M102" s="191"/>
      <c r="N102" s="191"/>
      <c r="O102" s="191"/>
    </row>
    <row r="103">
      <c r="A103" s="191"/>
      <c r="B103" s="191"/>
      <c r="C103" s="199"/>
      <c r="D103" s="136"/>
      <c r="E103" s="136"/>
      <c r="F103" s="136"/>
      <c r="G103" s="122"/>
      <c r="H103" s="122"/>
      <c r="I103" s="122"/>
      <c r="J103" s="122"/>
      <c r="K103" s="191"/>
      <c r="L103" s="191"/>
      <c r="M103" s="191"/>
      <c r="N103" s="191"/>
      <c r="O103" s="191"/>
    </row>
    <row r="104">
      <c r="A104" s="200"/>
      <c r="B104" s="200"/>
      <c r="C104" s="201"/>
      <c r="D104" s="202"/>
      <c r="G104" s="122"/>
      <c r="H104" s="122"/>
      <c r="I104" s="122"/>
      <c r="J104" s="122"/>
      <c r="K104" s="191"/>
      <c r="L104" s="191"/>
      <c r="M104" s="191"/>
      <c r="N104" s="191"/>
      <c r="O104" s="191"/>
    </row>
    <row r="105">
      <c r="A105" s="191"/>
      <c r="B105" s="191"/>
      <c r="C105" s="199"/>
      <c r="D105" s="122"/>
      <c r="E105" s="136"/>
      <c r="F105" s="136"/>
      <c r="G105" s="122"/>
      <c r="H105" s="122"/>
      <c r="I105" s="122"/>
      <c r="J105" s="122"/>
      <c r="K105" s="191"/>
      <c r="L105" s="191"/>
      <c r="M105" s="191"/>
      <c r="N105" s="191"/>
      <c r="O105" s="191"/>
    </row>
    <row r="106">
      <c r="A106" s="191"/>
      <c r="B106" s="191"/>
      <c r="C106" s="199"/>
      <c r="D106" s="136"/>
      <c r="E106" s="136"/>
      <c r="F106" s="136"/>
      <c r="G106" s="122"/>
      <c r="H106" s="122"/>
      <c r="I106" s="122"/>
      <c r="J106" s="122"/>
      <c r="K106" s="191"/>
      <c r="L106" s="191"/>
      <c r="M106" s="191"/>
      <c r="N106" s="191"/>
      <c r="O106" s="191"/>
    </row>
    <row r="107">
      <c r="A107" s="191"/>
      <c r="B107" s="191"/>
      <c r="C107" s="199"/>
      <c r="D107" s="136"/>
      <c r="E107" s="136"/>
      <c r="F107" s="136"/>
      <c r="G107" s="122"/>
      <c r="H107" s="122"/>
      <c r="I107" s="122"/>
      <c r="J107" s="122"/>
      <c r="K107" s="191"/>
      <c r="L107" s="191"/>
      <c r="M107" s="191"/>
      <c r="N107" s="191"/>
      <c r="O107" s="191"/>
    </row>
    <row r="108">
      <c r="A108" s="191"/>
      <c r="B108" s="191"/>
      <c r="C108" s="199"/>
      <c r="D108" s="136"/>
      <c r="E108" s="136"/>
      <c r="F108" s="136"/>
      <c r="G108" s="122"/>
      <c r="H108" s="122"/>
      <c r="I108" s="122"/>
      <c r="J108" s="122"/>
      <c r="K108" s="191"/>
      <c r="L108" s="191"/>
      <c r="M108" s="191"/>
      <c r="N108" s="191"/>
      <c r="O108" s="191"/>
    </row>
    <row r="109">
      <c r="A109" s="191"/>
      <c r="B109" s="191"/>
      <c r="C109" s="199"/>
      <c r="D109" s="122"/>
      <c r="E109" s="122"/>
      <c r="F109" s="122"/>
      <c r="G109" s="122"/>
      <c r="H109" s="122"/>
      <c r="I109" s="122"/>
      <c r="J109" s="122"/>
      <c r="K109" s="191"/>
      <c r="L109" s="191"/>
      <c r="M109" s="191"/>
      <c r="N109" s="191"/>
      <c r="O109" s="191"/>
    </row>
    <row r="110">
      <c r="A110" s="191"/>
      <c r="B110" s="191"/>
      <c r="C110" s="199"/>
      <c r="D110" s="122"/>
      <c r="E110" s="122"/>
      <c r="F110" s="122"/>
      <c r="G110" s="122"/>
      <c r="H110" s="122"/>
      <c r="I110" s="122"/>
      <c r="J110" s="122"/>
      <c r="K110" s="191"/>
      <c r="L110" s="191"/>
      <c r="M110" s="191"/>
      <c r="N110" s="191"/>
      <c r="O110" s="191"/>
    </row>
    <row r="111">
      <c r="A111" s="191"/>
      <c r="B111" s="191"/>
      <c r="C111" s="199"/>
      <c r="D111" s="122"/>
      <c r="E111" s="122"/>
      <c r="F111" s="122"/>
      <c r="G111" s="122"/>
      <c r="H111" s="122"/>
      <c r="I111" s="122"/>
      <c r="J111" s="122"/>
      <c r="K111" s="191"/>
      <c r="L111" s="191"/>
      <c r="M111" s="191"/>
      <c r="N111" s="191"/>
      <c r="O111" s="191"/>
    </row>
    <row r="112">
      <c r="A112" s="191"/>
      <c r="B112" s="191"/>
      <c r="C112" s="199"/>
      <c r="D112" s="122"/>
      <c r="E112" s="122"/>
      <c r="F112" s="122"/>
      <c r="G112" s="122"/>
      <c r="H112" s="122"/>
      <c r="I112" s="122"/>
      <c r="J112" s="122"/>
      <c r="K112" s="191"/>
      <c r="L112" s="191"/>
      <c r="M112" s="191"/>
      <c r="N112" s="191"/>
      <c r="O112" s="191"/>
    </row>
    <row r="113">
      <c r="A113" s="191"/>
      <c r="B113" s="191"/>
      <c r="C113" s="199"/>
      <c r="D113" s="136"/>
      <c r="E113" s="136"/>
      <c r="F113" s="136"/>
      <c r="G113" s="122"/>
      <c r="H113" s="122"/>
      <c r="I113" s="122"/>
      <c r="J113" s="122"/>
      <c r="K113" s="191"/>
      <c r="L113" s="191"/>
      <c r="M113" s="191"/>
      <c r="N113" s="191"/>
      <c r="O113" s="191"/>
    </row>
    <row r="114">
      <c r="A114" s="191"/>
      <c r="B114" s="191"/>
      <c r="C114" s="199"/>
      <c r="D114" s="136"/>
      <c r="E114" s="136"/>
      <c r="F114" s="122"/>
      <c r="G114" s="122"/>
      <c r="H114" s="122"/>
      <c r="I114" s="122"/>
      <c r="J114" s="122"/>
      <c r="K114" s="191"/>
      <c r="L114" s="191"/>
      <c r="M114" s="191"/>
      <c r="N114" s="191"/>
      <c r="O114" s="191"/>
    </row>
    <row r="115">
      <c r="A115" s="191"/>
      <c r="B115" s="191"/>
      <c r="C115" s="199"/>
      <c r="D115" s="136"/>
      <c r="E115" s="136"/>
      <c r="F115" s="136"/>
      <c r="G115" s="122"/>
      <c r="H115" s="122"/>
      <c r="I115" s="122"/>
      <c r="J115" s="122"/>
      <c r="K115" s="191"/>
      <c r="L115" s="191"/>
      <c r="M115" s="191"/>
      <c r="N115" s="191"/>
      <c r="O115" s="191"/>
    </row>
    <row r="116">
      <c r="A116" s="191"/>
      <c r="B116" s="191"/>
      <c r="C116" s="199"/>
      <c r="D116" s="122"/>
      <c r="E116" s="122"/>
      <c r="F116" s="122"/>
      <c r="G116" s="122"/>
      <c r="H116" s="122"/>
      <c r="I116" s="122"/>
      <c r="J116" s="122"/>
      <c r="K116" s="191"/>
      <c r="L116" s="191"/>
      <c r="M116" s="191"/>
      <c r="N116" s="191"/>
      <c r="O116" s="191"/>
    </row>
    <row r="117">
      <c r="A117" s="191"/>
      <c r="B117" s="191"/>
      <c r="C117" s="199"/>
      <c r="D117" s="122"/>
      <c r="E117" s="122"/>
      <c r="F117" s="122"/>
      <c r="G117" s="122"/>
      <c r="H117" s="122"/>
      <c r="I117" s="122"/>
      <c r="J117" s="122"/>
      <c r="K117" s="191"/>
      <c r="L117" s="191"/>
      <c r="M117" s="191"/>
      <c r="N117" s="191"/>
      <c r="O117" s="191"/>
    </row>
    <row r="118">
      <c r="A118" s="191"/>
      <c r="B118" s="191"/>
      <c r="C118" s="199"/>
      <c r="D118" s="122"/>
      <c r="E118" s="122"/>
      <c r="F118" s="122"/>
      <c r="G118" s="122"/>
      <c r="H118" s="122"/>
      <c r="I118" s="122"/>
      <c r="J118" s="122"/>
      <c r="K118" s="191"/>
      <c r="L118" s="191"/>
      <c r="M118" s="191"/>
      <c r="N118" s="191"/>
      <c r="O118" s="191"/>
    </row>
    <row r="119">
      <c r="A119" s="191"/>
      <c r="B119" s="191"/>
      <c r="C119" s="199"/>
      <c r="D119" s="122"/>
      <c r="E119" s="122"/>
      <c r="F119" s="122"/>
      <c r="G119" s="122"/>
      <c r="H119" s="122"/>
      <c r="I119" s="122"/>
      <c r="J119" s="122"/>
      <c r="K119" s="191"/>
      <c r="L119" s="191"/>
      <c r="M119" s="191"/>
      <c r="N119" s="191"/>
      <c r="O119" s="191"/>
    </row>
    <row r="120">
      <c r="A120" s="191"/>
      <c r="B120" s="191"/>
      <c r="C120" s="199"/>
      <c r="D120" s="122"/>
      <c r="E120" s="122"/>
      <c r="F120" s="122"/>
      <c r="G120" s="122"/>
      <c r="H120" s="122"/>
      <c r="I120" s="122"/>
      <c r="J120" s="122"/>
      <c r="K120" s="191"/>
      <c r="L120" s="191"/>
      <c r="M120" s="191"/>
      <c r="N120" s="191"/>
      <c r="O120" s="191"/>
    </row>
    <row r="121">
      <c r="A121" s="191"/>
      <c r="B121" s="191"/>
      <c r="C121" s="199"/>
      <c r="D121" s="122"/>
      <c r="E121" s="122"/>
      <c r="F121" s="122"/>
      <c r="G121" s="122"/>
      <c r="H121" s="122"/>
      <c r="I121" s="122"/>
      <c r="J121" s="122"/>
      <c r="K121" s="191"/>
      <c r="L121" s="191"/>
      <c r="M121" s="191"/>
      <c r="N121" s="191"/>
      <c r="O121" s="191"/>
    </row>
    <row r="122">
      <c r="A122" s="191"/>
      <c r="B122" s="191"/>
      <c r="C122" s="199"/>
      <c r="D122" s="122"/>
      <c r="E122" s="122"/>
      <c r="F122" s="122"/>
      <c r="G122" s="122"/>
      <c r="H122" s="122"/>
      <c r="I122" s="122"/>
      <c r="J122" s="122"/>
      <c r="K122" s="191"/>
      <c r="L122" s="191"/>
      <c r="M122" s="191"/>
      <c r="N122" s="191"/>
      <c r="O122" s="191"/>
    </row>
    <row r="123">
      <c r="A123" s="191"/>
      <c r="B123" s="191"/>
      <c r="C123" s="199"/>
      <c r="D123" s="122"/>
      <c r="E123" s="122"/>
      <c r="F123" s="122"/>
      <c r="G123" s="122"/>
      <c r="H123" s="122"/>
      <c r="I123" s="122"/>
      <c r="J123" s="122"/>
      <c r="K123" s="191"/>
      <c r="L123" s="191"/>
      <c r="M123" s="191"/>
      <c r="N123" s="191"/>
      <c r="O123" s="191"/>
    </row>
    <row r="124">
      <c r="A124" s="191"/>
      <c r="B124" s="191"/>
      <c r="C124" s="199"/>
      <c r="D124" s="122"/>
      <c r="E124" s="122"/>
      <c r="F124" s="122"/>
      <c r="G124" s="122"/>
      <c r="H124" s="122"/>
      <c r="I124" s="122"/>
      <c r="J124" s="122"/>
      <c r="K124" s="191"/>
      <c r="L124" s="191"/>
      <c r="M124" s="191"/>
      <c r="N124" s="191"/>
      <c r="O124" s="191"/>
    </row>
    <row r="125">
      <c r="A125" s="191"/>
      <c r="B125" s="191"/>
      <c r="C125" s="199"/>
      <c r="D125" s="122"/>
      <c r="E125" s="122"/>
      <c r="F125" s="122"/>
      <c r="G125" s="122"/>
      <c r="H125" s="122"/>
      <c r="I125" s="122"/>
      <c r="J125" s="122"/>
      <c r="K125" s="191"/>
      <c r="L125" s="191"/>
      <c r="M125" s="191"/>
      <c r="N125" s="191"/>
      <c r="O125" s="191"/>
    </row>
    <row r="126">
      <c r="A126" s="191"/>
      <c r="B126" s="191"/>
      <c r="C126" s="199"/>
      <c r="D126" s="122"/>
      <c r="E126" s="122"/>
      <c r="F126" s="122"/>
      <c r="G126" s="122"/>
      <c r="H126" s="122"/>
      <c r="I126" s="122"/>
      <c r="J126" s="122"/>
      <c r="K126" s="191"/>
      <c r="L126" s="191"/>
      <c r="M126" s="191"/>
      <c r="N126" s="191"/>
      <c r="O126" s="191"/>
    </row>
    <row r="127">
      <c r="A127" s="191"/>
      <c r="B127" s="191"/>
      <c r="C127" s="199"/>
      <c r="D127" s="122"/>
      <c r="E127" s="122"/>
      <c r="F127" s="122"/>
      <c r="G127" s="122"/>
      <c r="H127" s="122"/>
      <c r="I127" s="122"/>
      <c r="J127" s="122"/>
      <c r="K127" s="191"/>
      <c r="L127" s="191"/>
      <c r="M127" s="191"/>
      <c r="N127" s="191"/>
      <c r="O127" s="191"/>
    </row>
    <row r="128">
      <c r="A128" s="191"/>
      <c r="B128" s="191"/>
      <c r="C128" s="199"/>
      <c r="D128" s="122"/>
      <c r="E128" s="122"/>
      <c r="F128" s="122"/>
      <c r="G128" s="122"/>
      <c r="H128" s="122"/>
      <c r="I128" s="122"/>
      <c r="J128" s="122"/>
      <c r="K128" s="191"/>
      <c r="L128" s="191"/>
      <c r="M128" s="191"/>
      <c r="N128" s="191"/>
      <c r="O128" s="191"/>
    </row>
    <row r="129">
      <c r="A129" s="191"/>
      <c r="B129" s="191"/>
      <c r="C129" s="199"/>
      <c r="D129" s="122"/>
      <c r="E129" s="122"/>
      <c r="F129" s="122"/>
      <c r="G129" s="122"/>
      <c r="H129" s="122"/>
      <c r="I129" s="122"/>
      <c r="J129" s="122"/>
      <c r="K129" s="191"/>
      <c r="L129" s="191"/>
      <c r="M129" s="191"/>
      <c r="N129" s="191"/>
      <c r="O129" s="191"/>
    </row>
    <row r="130">
      <c r="A130" s="191"/>
      <c r="B130" s="191"/>
      <c r="C130" s="199"/>
      <c r="D130" s="122"/>
      <c r="E130" s="122"/>
      <c r="F130" s="122"/>
      <c r="G130" s="122"/>
      <c r="H130" s="122"/>
      <c r="I130" s="122"/>
      <c r="J130" s="122"/>
      <c r="K130" s="191"/>
      <c r="L130" s="191"/>
      <c r="M130" s="191"/>
      <c r="N130" s="191"/>
      <c r="O130" s="191"/>
    </row>
    <row r="131">
      <c r="A131" s="191"/>
      <c r="B131" s="191"/>
      <c r="C131" s="199"/>
      <c r="D131" s="122"/>
      <c r="E131" s="122"/>
      <c r="F131" s="122"/>
      <c r="G131" s="122"/>
      <c r="H131" s="122"/>
      <c r="I131" s="122"/>
      <c r="J131" s="122"/>
      <c r="K131" s="191"/>
      <c r="L131" s="191"/>
      <c r="M131" s="191"/>
      <c r="N131" s="191"/>
      <c r="O131" s="191"/>
    </row>
    <row r="132">
      <c r="A132" s="191"/>
      <c r="B132" s="191"/>
      <c r="C132" s="199"/>
      <c r="D132" s="122"/>
      <c r="E132" s="122"/>
      <c r="F132" s="122"/>
      <c r="G132" s="122"/>
      <c r="H132" s="122"/>
      <c r="I132" s="122"/>
      <c r="J132" s="122"/>
      <c r="K132" s="191"/>
      <c r="L132" s="191"/>
      <c r="M132" s="191"/>
      <c r="N132" s="191"/>
      <c r="O132" s="191"/>
    </row>
    <row r="133">
      <c r="A133" s="191"/>
      <c r="B133" s="191"/>
      <c r="C133" s="199"/>
      <c r="D133" s="122"/>
      <c r="E133" s="122"/>
      <c r="F133" s="122"/>
      <c r="G133" s="122"/>
      <c r="H133" s="122"/>
      <c r="I133" s="122"/>
      <c r="J133" s="122"/>
      <c r="K133" s="191"/>
      <c r="L133" s="191"/>
      <c r="M133" s="191"/>
      <c r="N133" s="191"/>
      <c r="O133" s="191"/>
    </row>
    <row r="134">
      <c r="A134" s="191"/>
      <c r="B134" s="191"/>
      <c r="C134" s="199"/>
      <c r="D134" s="122"/>
      <c r="E134" s="122"/>
      <c r="F134" s="122"/>
      <c r="G134" s="122"/>
      <c r="H134" s="122"/>
      <c r="I134" s="122"/>
      <c r="J134" s="122"/>
      <c r="K134" s="191"/>
      <c r="L134" s="191"/>
      <c r="M134" s="191"/>
      <c r="N134" s="191"/>
      <c r="O134" s="191"/>
    </row>
    <row r="135">
      <c r="A135" s="191"/>
      <c r="B135" s="191"/>
      <c r="C135" s="199"/>
      <c r="D135" s="122"/>
      <c r="E135" s="122"/>
      <c r="F135" s="122"/>
      <c r="G135" s="122"/>
      <c r="H135" s="122"/>
      <c r="I135" s="122"/>
      <c r="J135" s="122"/>
      <c r="K135" s="191"/>
      <c r="L135" s="191"/>
      <c r="M135" s="191"/>
      <c r="N135" s="191"/>
      <c r="O135" s="191"/>
    </row>
    <row r="136">
      <c r="A136" s="191"/>
      <c r="B136" s="191"/>
      <c r="C136" s="199"/>
      <c r="D136" s="122"/>
      <c r="E136" s="122"/>
      <c r="F136" s="122"/>
      <c r="G136" s="122"/>
      <c r="H136" s="122"/>
      <c r="I136" s="122"/>
      <c r="J136" s="122"/>
      <c r="K136" s="191"/>
      <c r="L136" s="191"/>
      <c r="M136" s="191"/>
      <c r="N136" s="191"/>
      <c r="O136" s="191"/>
    </row>
    <row r="137">
      <c r="A137" s="191"/>
      <c r="B137" s="191"/>
      <c r="C137" s="199"/>
      <c r="D137" s="122"/>
      <c r="E137" s="122"/>
      <c r="F137" s="122"/>
      <c r="G137" s="122"/>
      <c r="H137" s="122"/>
      <c r="I137" s="122"/>
      <c r="J137" s="122"/>
      <c r="K137" s="191"/>
      <c r="L137" s="191"/>
      <c r="M137" s="191"/>
      <c r="N137" s="191"/>
      <c r="O137" s="191"/>
    </row>
    <row r="138">
      <c r="A138" s="191"/>
      <c r="B138" s="191"/>
      <c r="C138" s="199"/>
      <c r="D138" s="122"/>
      <c r="E138" s="122"/>
      <c r="F138" s="122"/>
      <c r="G138" s="122"/>
      <c r="H138" s="122"/>
      <c r="I138" s="122"/>
      <c r="J138" s="122"/>
      <c r="K138" s="191"/>
      <c r="L138" s="191"/>
      <c r="M138" s="191"/>
      <c r="N138" s="191"/>
      <c r="O138" s="191"/>
    </row>
    <row r="139">
      <c r="A139" s="191"/>
      <c r="B139" s="191"/>
      <c r="C139" s="199"/>
      <c r="D139" s="122"/>
      <c r="E139" s="122"/>
      <c r="F139" s="122"/>
      <c r="G139" s="122"/>
      <c r="H139" s="122"/>
      <c r="I139" s="122"/>
      <c r="J139" s="122"/>
      <c r="K139" s="191"/>
      <c r="L139" s="191"/>
      <c r="M139" s="191"/>
      <c r="N139" s="191"/>
      <c r="O139" s="191"/>
    </row>
    <row r="140">
      <c r="A140" s="191"/>
      <c r="B140" s="191"/>
      <c r="C140" s="199"/>
      <c r="D140" s="122"/>
      <c r="E140" s="122"/>
      <c r="F140" s="122"/>
      <c r="G140" s="122"/>
      <c r="H140" s="122"/>
      <c r="I140" s="122"/>
      <c r="J140" s="122"/>
      <c r="K140" s="191"/>
      <c r="L140" s="191"/>
      <c r="M140" s="191"/>
      <c r="N140" s="191"/>
      <c r="O140" s="191"/>
    </row>
    <row r="141">
      <c r="A141" s="191"/>
      <c r="B141" s="191"/>
      <c r="C141" s="199"/>
      <c r="D141" s="122"/>
      <c r="E141" s="122"/>
      <c r="F141" s="122"/>
      <c r="G141" s="122"/>
      <c r="H141" s="122"/>
      <c r="I141" s="122"/>
      <c r="J141" s="122"/>
      <c r="K141" s="191"/>
      <c r="L141" s="191"/>
      <c r="M141" s="191"/>
      <c r="N141" s="191"/>
      <c r="O141" s="191"/>
    </row>
    <row r="142">
      <c r="A142" s="191"/>
      <c r="B142" s="191"/>
      <c r="C142" s="199"/>
      <c r="D142" s="122"/>
      <c r="E142" s="122"/>
      <c r="F142" s="122"/>
      <c r="G142" s="122"/>
      <c r="H142" s="122"/>
      <c r="I142" s="122"/>
      <c r="J142" s="122"/>
      <c r="K142" s="191"/>
      <c r="L142" s="191"/>
      <c r="M142" s="191"/>
      <c r="N142" s="191"/>
      <c r="O142" s="191"/>
    </row>
    <row r="143">
      <c r="A143" s="191"/>
      <c r="B143" s="191"/>
      <c r="C143" s="199"/>
      <c r="D143" s="122"/>
      <c r="E143" s="122"/>
      <c r="F143" s="122"/>
      <c r="G143" s="122"/>
      <c r="H143" s="122"/>
      <c r="I143" s="122"/>
      <c r="J143" s="122"/>
      <c r="K143" s="191"/>
      <c r="L143" s="191"/>
      <c r="M143" s="191"/>
      <c r="N143" s="191"/>
      <c r="O143" s="191"/>
    </row>
    <row r="144">
      <c r="A144" s="191"/>
      <c r="B144" s="191"/>
      <c r="C144" s="199"/>
      <c r="D144" s="122"/>
      <c r="E144" s="122"/>
      <c r="F144" s="122"/>
      <c r="G144" s="122"/>
      <c r="H144" s="122"/>
      <c r="I144" s="122"/>
      <c r="J144" s="122"/>
      <c r="K144" s="191"/>
      <c r="L144" s="191"/>
      <c r="M144" s="191"/>
      <c r="N144" s="191"/>
      <c r="O144" s="191"/>
    </row>
    <row r="145">
      <c r="A145" s="191"/>
      <c r="B145" s="191"/>
      <c r="C145" s="199"/>
      <c r="D145" s="122"/>
      <c r="E145" s="122"/>
      <c r="F145" s="122"/>
      <c r="G145" s="122"/>
      <c r="H145" s="122"/>
      <c r="I145" s="122"/>
      <c r="J145" s="122"/>
      <c r="K145" s="191"/>
      <c r="L145" s="191"/>
      <c r="M145" s="191"/>
      <c r="N145" s="191"/>
      <c r="O145" s="191"/>
    </row>
    <row r="146">
      <c r="A146" s="191"/>
      <c r="B146" s="191"/>
      <c r="C146" s="199"/>
      <c r="D146" s="122"/>
      <c r="E146" s="122"/>
      <c r="F146" s="122"/>
      <c r="G146" s="122"/>
      <c r="H146" s="122"/>
      <c r="I146" s="122"/>
      <c r="J146" s="122"/>
      <c r="K146" s="191"/>
      <c r="L146" s="191"/>
      <c r="M146" s="191"/>
      <c r="N146" s="191"/>
      <c r="O146" s="191"/>
    </row>
    <row r="147">
      <c r="A147" s="191"/>
      <c r="B147" s="191"/>
      <c r="C147" s="199"/>
      <c r="D147" s="122"/>
      <c r="E147" s="122"/>
      <c r="F147" s="122"/>
      <c r="G147" s="122"/>
      <c r="H147" s="122"/>
      <c r="I147" s="122"/>
      <c r="J147" s="122"/>
      <c r="K147" s="191"/>
      <c r="L147" s="191"/>
      <c r="M147" s="191"/>
      <c r="N147" s="191"/>
      <c r="O147" s="191"/>
    </row>
    <row r="148">
      <c r="A148" s="191"/>
      <c r="B148" s="191"/>
      <c r="C148" s="199"/>
      <c r="D148" s="122"/>
      <c r="E148" s="122"/>
      <c r="F148" s="122"/>
      <c r="G148" s="122"/>
      <c r="H148" s="122"/>
      <c r="I148" s="122"/>
      <c r="J148" s="122"/>
      <c r="K148" s="191"/>
      <c r="L148" s="191"/>
      <c r="M148" s="191"/>
      <c r="N148" s="191"/>
      <c r="O148" s="191"/>
    </row>
    <row r="149">
      <c r="A149" s="191"/>
      <c r="B149" s="191"/>
      <c r="C149" s="199"/>
      <c r="D149" s="122"/>
      <c r="E149" s="122"/>
      <c r="F149" s="122"/>
      <c r="G149" s="122"/>
      <c r="H149" s="122"/>
      <c r="I149" s="122"/>
      <c r="J149" s="122"/>
      <c r="K149" s="191"/>
      <c r="L149" s="191"/>
      <c r="M149" s="191"/>
      <c r="N149" s="191"/>
      <c r="O149" s="191"/>
    </row>
    <row r="150">
      <c r="A150" s="191"/>
      <c r="B150" s="191"/>
      <c r="C150" s="199"/>
      <c r="D150" s="122"/>
      <c r="E150" s="122"/>
      <c r="F150" s="122"/>
      <c r="G150" s="122"/>
      <c r="H150" s="122"/>
      <c r="I150" s="122"/>
      <c r="J150" s="122"/>
      <c r="K150" s="191"/>
      <c r="L150" s="191"/>
      <c r="M150" s="191"/>
      <c r="N150" s="191"/>
      <c r="O150" s="191"/>
    </row>
    <row r="151">
      <c r="A151" s="191"/>
      <c r="B151" s="191"/>
      <c r="C151" s="199"/>
      <c r="D151" s="122"/>
      <c r="E151" s="122"/>
      <c r="F151" s="122"/>
      <c r="G151" s="122"/>
      <c r="H151" s="122"/>
      <c r="I151" s="122"/>
      <c r="J151" s="122"/>
      <c r="K151" s="191"/>
      <c r="L151" s="191"/>
      <c r="M151" s="191"/>
      <c r="N151" s="191"/>
      <c r="O151" s="191"/>
    </row>
    <row r="152">
      <c r="A152" s="191"/>
      <c r="B152" s="191"/>
      <c r="C152" s="199"/>
      <c r="D152" s="122"/>
      <c r="E152" s="122"/>
      <c r="F152" s="122"/>
      <c r="G152" s="122"/>
      <c r="H152" s="122"/>
      <c r="I152" s="122"/>
      <c r="J152" s="122"/>
      <c r="K152" s="191"/>
      <c r="L152" s="191"/>
      <c r="M152" s="191"/>
      <c r="N152" s="191"/>
      <c r="O152" s="191"/>
    </row>
    <row r="153">
      <c r="A153" s="191"/>
      <c r="B153" s="191"/>
      <c r="C153" s="199"/>
      <c r="D153" s="122"/>
      <c r="E153" s="122"/>
      <c r="F153" s="122"/>
      <c r="G153" s="122"/>
      <c r="H153" s="122"/>
      <c r="I153" s="122"/>
      <c r="J153" s="122"/>
      <c r="K153" s="191"/>
      <c r="L153" s="191"/>
      <c r="M153" s="191"/>
      <c r="N153" s="191"/>
      <c r="O153" s="191"/>
    </row>
    <row r="154">
      <c r="A154" s="191"/>
      <c r="B154" s="191"/>
      <c r="C154" s="199"/>
      <c r="D154" s="122"/>
      <c r="E154" s="122"/>
      <c r="F154" s="122"/>
      <c r="G154" s="122"/>
      <c r="H154" s="122"/>
      <c r="I154" s="122"/>
      <c r="J154" s="122"/>
      <c r="K154" s="191"/>
      <c r="L154" s="191"/>
      <c r="M154" s="191"/>
      <c r="N154" s="191"/>
      <c r="O154" s="191"/>
    </row>
    <row r="155">
      <c r="A155" s="191"/>
      <c r="B155" s="191"/>
      <c r="C155" s="199"/>
      <c r="D155" s="122"/>
      <c r="E155" s="122"/>
      <c r="F155" s="122"/>
      <c r="G155" s="122"/>
      <c r="H155" s="122"/>
      <c r="I155" s="122"/>
      <c r="J155" s="122"/>
      <c r="K155" s="191"/>
      <c r="L155" s="191"/>
      <c r="M155" s="191"/>
      <c r="N155" s="191"/>
      <c r="O155" s="191"/>
    </row>
    <row r="156">
      <c r="A156" s="191"/>
      <c r="B156" s="191"/>
      <c r="C156" s="199"/>
      <c r="D156" s="122"/>
      <c r="E156" s="122"/>
      <c r="F156" s="122"/>
      <c r="G156" s="122"/>
      <c r="H156" s="122"/>
      <c r="I156" s="122"/>
      <c r="J156" s="122"/>
      <c r="K156" s="191"/>
      <c r="L156" s="191"/>
      <c r="M156" s="191"/>
      <c r="N156" s="191"/>
      <c r="O156" s="191"/>
    </row>
    <row r="157">
      <c r="A157" s="191"/>
      <c r="B157" s="191"/>
      <c r="C157" s="199"/>
      <c r="D157" s="122"/>
      <c r="E157" s="122"/>
      <c r="F157" s="122"/>
      <c r="G157" s="122"/>
      <c r="H157" s="122"/>
      <c r="I157" s="122"/>
      <c r="J157" s="122"/>
      <c r="K157" s="191"/>
      <c r="L157" s="191"/>
      <c r="M157" s="191"/>
      <c r="N157" s="191"/>
      <c r="O157" s="191"/>
    </row>
    <row r="158">
      <c r="A158" s="191"/>
      <c r="B158" s="191"/>
      <c r="C158" s="199"/>
      <c r="D158" s="122"/>
      <c r="E158" s="122"/>
      <c r="F158" s="122"/>
      <c r="G158" s="122"/>
      <c r="H158" s="122"/>
      <c r="I158" s="122"/>
      <c r="J158" s="122"/>
      <c r="K158" s="191"/>
      <c r="L158" s="191"/>
      <c r="M158" s="191"/>
      <c r="N158" s="191"/>
      <c r="O158" s="191"/>
    </row>
    <row r="159">
      <c r="A159" s="191"/>
      <c r="B159" s="191"/>
      <c r="C159" s="199"/>
      <c r="D159" s="122"/>
      <c r="E159" s="122"/>
      <c r="F159" s="122"/>
      <c r="G159" s="122"/>
      <c r="H159" s="122"/>
      <c r="I159" s="122"/>
      <c r="J159" s="122"/>
      <c r="K159" s="191"/>
      <c r="L159" s="191"/>
      <c r="M159" s="191"/>
      <c r="N159" s="191"/>
      <c r="O159" s="191"/>
    </row>
    <row r="160">
      <c r="A160" s="191"/>
      <c r="B160" s="191"/>
      <c r="C160" s="199"/>
      <c r="D160" s="122"/>
      <c r="E160" s="122"/>
      <c r="F160" s="122"/>
      <c r="G160" s="122"/>
      <c r="H160" s="122"/>
      <c r="I160" s="122"/>
      <c r="J160" s="122"/>
      <c r="K160" s="191"/>
      <c r="L160" s="191"/>
      <c r="M160" s="191"/>
      <c r="N160" s="191"/>
      <c r="O160" s="191"/>
    </row>
    <row r="161">
      <c r="A161" s="191"/>
      <c r="B161" s="191"/>
      <c r="C161" s="199"/>
      <c r="D161" s="122"/>
      <c r="E161" s="122"/>
      <c r="F161" s="122"/>
      <c r="G161" s="122"/>
      <c r="H161" s="122"/>
      <c r="I161" s="122"/>
      <c r="J161" s="122"/>
      <c r="K161" s="191"/>
      <c r="L161" s="191"/>
      <c r="M161" s="191"/>
      <c r="N161" s="191"/>
      <c r="O161" s="191"/>
    </row>
    <row r="162">
      <c r="A162" s="191"/>
      <c r="B162" s="191"/>
      <c r="C162" s="199"/>
      <c r="D162" s="122"/>
      <c r="E162" s="122"/>
      <c r="F162" s="122"/>
      <c r="G162" s="122"/>
      <c r="H162" s="122"/>
      <c r="I162" s="122"/>
      <c r="J162" s="122"/>
      <c r="K162" s="191"/>
      <c r="L162" s="191"/>
      <c r="M162" s="191"/>
      <c r="N162" s="191"/>
      <c r="O162" s="191"/>
    </row>
    <row r="163">
      <c r="A163" s="191"/>
      <c r="B163" s="191"/>
      <c r="C163" s="199"/>
      <c r="D163" s="122"/>
      <c r="E163" s="122"/>
      <c r="F163" s="122"/>
      <c r="G163" s="122"/>
      <c r="H163" s="122"/>
      <c r="I163" s="122"/>
      <c r="J163" s="122"/>
      <c r="K163" s="191"/>
      <c r="L163" s="191"/>
      <c r="M163" s="191"/>
      <c r="N163" s="191"/>
      <c r="O163" s="191"/>
    </row>
    <row r="164">
      <c r="A164" s="191"/>
      <c r="B164" s="191"/>
      <c r="C164" s="199"/>
      <c r="D164" s="122"/>
      <c r="E164" s="122"/>
      <c r="F164" s="122"/>
      <c r="G164" s="122"/>
      <c r="H164" s="122"/>
      <c r="I164" s="122"/>
      <c r="J164" s="122"/>
      <c r="K164" s="191"/>
      <c r="L164" s="191"/>
      <c r="M164" s="191"/>
      <c r="N164" s="191"/>
      <c r="O164" s="191"/>
    </row>
    <row r="165">
      <c r="A165" s="191"/>
      <c r="B165" s="191"/>
      <c r="C165" s="199"/>
      <c r="D165" s="122"/>
      <c r="E165" s="122"/>
      <c r="F165" s="122"/>
      <c r="G165" s="122"/>
      <c r="H165" s="122"/>
      <c r="I165" s="122"/>
      <c r="J165" s="122"/>
      <c r="K165" s="191"/>
      <c r="L165" s="191"/>
      <c r="M165" s="191"/>
      <c r="N165" s="191"/>
      <c r="O165" s="191"/>
    </row>
    <row r="166">
      <c r="A166" s="191"/>
      <c r="B166" s="191"/>
      <c r="C166" s="199"/>
      <c r="D166" s="122"/>
      <c r="E166" s="122"/>
      <c r="F166" s="122"/>
      <c r="G166" s="122"/>
      <c r="H166" s="122"/>
      <c r="I166" s="122"/>
      <c r="J166" s="122"/>
      <c r="K166" s="191"/>
      <c r="L166" s="191"/>
      <c r="M166" s="191"/>
      <c r="N166" s="191"/>
      <c r="O166" s="191"/>
    </row>
    <row r="167">
      <c r="A167" s="191"/>
      <c r="B167" s="191"/>
      <c r="C167" s="199"/>
      <c r="D167" s="122"/>
      <c r="E167" s="122"/>
      <c r="F167" s="122"/>
      <c r="G167" s="122"/>
      <c r="H167" s="122"/>
      <c r="I167" s="122"/>
      <c r="J167" s="122"/>
      <c r="K167" s="191"/>
      <c r="L167" s="191"/>
      <c r="M167" s="191"/>
      <c r="N167" s="191"/>
      <c r="O167" s="191"/>
    </row>
    <row r="168">
      <c r="A168" s="203"/>
      <c r="B168" s="203"/>
      <c r="C168" s="204"/>
      <c r="D168" s="205"/>
      <c r="E168" s="206"/>
      <c r="F168" s="207"/>
      <c r="G168" s="208"/>
      <c r="H168" s="209"/>
      <c r="I168" s="210"/>
      <c r="J168" s="205"/>
    </row>
    <row r="169">
      <c r="A169" s="203"/>
      <c r="B169" s="203"/>
      <c r="C169" s="204"/>
      <c r="D169" s="205"/>
      <c r="E169" s="206"/>
      <c r="F169" s="207"/>
      <c r="G169" s="208"/>
      <c r="H169" s="209"/>
      <c r="I169" s="210"/>
      <c r="J169" s="205"/>
    </row>
    <row r="170">
      <c r="A170" s="203"/>
      <c r="B170" s="203"/>
      <c r="C170" s="204"/>
      <c r="D170" s="205"/>
      <c r="E170" s="206"/>
      <c r="F170" s="207"/>
      <c r="G170" s="208"/>
      <c r="H170" s="209"/>
      <c r="I170" s="210"/>
      <c r="J170" s="205"/>
    </row>
    <row r="171">
      <c r="A171" s="203"/>
      <c r="B171" s="203"/>
      <c r="C171" s="204"/>
      <c r="D171" s="205"/>
      <c r="E171" s="206"/>
      <c r="F171" s="207"/>
      <c r="G171" s="208"/>
      <c r="H171" s="209"/>
      <c r="I171" s="210"/>
      <c r="J171" s="205"/>
    </row>
    <row r="172">
      <c r="A172" s="203"/>
      <c r="B172" s="203"/>
      <c r="C172" s="204"/>
      <c r="D172" s="205"/>
      <c r="E172" s="206"/>
      <c r="F172" s="207"/>
      <c r="G172" s="208"/>
      <c r="H172" s="209"/>
      <c r="I172" s="210"/>
      <c r="J172" s="205"/>
    </row>
    <row r="173">
      <c r="A173" s="203"/>
      <c r="B173" s="203"/>
      <c r="C173" s="204"/>
      <c r="D173" s="205"/>
      <c r="E173" s="206"/>
      <c r="F173" s="207"/>
      <c r="G173" s="208"/>
      <c r="H173" s="209"/>
      <c r="I173" s="210"/>
      <c r="J173" s="205"/>
    </row>
    <row r="174">
      <c r="A174" s="203"/>
      <c r="B174" s="203"/>
      <c r="C174" s="204"/>
      <c r="D174" s="205"/>
      <c r="E174" s="206"/>
      <c r="F174" s="207"/>
      <c r="G174" s="208"/>
      <c r="H174" s="209"/>
      <c r="I174" s="210"/>
      <c r="J174" s="205"/>
    </row>
    <row r="175">
      <c r="A175" s="203"/>
      <c r="B175" s="203"/>
      <c r="C175" s="204"/>
      <c r="D175" s="205"/>
      <c r="E175" s="206"/>
      <c r="F175" s="207"/>
      <c r="G175" s="208"/>
      <c r="H175" s="209"/>
      <c r="I175" s="210"/>
      <c r="J175" s="205"/>
    </row>
    <row r="176">
      <c r="A176" s="203"/>
      <c r="B176" s="203"/>
      <c r="C176" s="204"/>
      <c r="D176" s="205"/>
      <c r="E176" s="206"/>
      <c r="F176" s="207"/>
      <c r="G176" s="208"/>
      <c r="H176" s="209"/>
      <c r="I176" s="210"/>
      <c r="J176" s="205"/>
    </row>
    <row r="177">
      <c r="A177" s="203"/>
      <c r="B177" s="203"/>
      <c r="C177" s="204"/>
      <c r="D177" s="205"/>
      <c r="E177" s="206"/>
      <c r="F177" s="207"/>
      <c r="G177" s="208"/>
      <c r="H177" s="209"/>
      <c r="I177" s="210"/>
      <c r="J177" s="205"/>
    </row>
    <row r="178">
      <c r="A178" s="203"/>
      <c r="B178" s="203"/>
      <c r="C178" s="204"/>
      <c r="D178" s="205"/>
      <c r="E178" s="206"/>
      <c r="F178" s="207"/>
      <c r="G178" s="208"/>
      <c r="H178" s="209"/>
      <c r="I178" s="210"/>
      <c r="J178" s="205"/>
    </row>
    <row r="179">
      <c r="A179" s="203"/>
      <c r="B179" s="203"/>
      <c r="C179" s="204"/>
      <c r="D179" s="205"/>
      <c r="E179" s="206"/>
      <c r="F179" s="207"/>
      <c r="G179" s="208"/>
      <c r="H179" s="209"/>
      <c r="I179" s="210"/>
      <c r="J179" s="205"/>
    </row>
    <row r="180">
      <c r="A180" s="203"/>
      <c r="B180" s="203"/>
      <c r="C180" s="204"/>
      <c r="D180" s="205"/>
      <c r="E180" s="206"/>
      <c r="F180" s="207"/>
      <c r="G180" s="208"/>
      <c r="H180" s="209"/>
      <c r="I180" s="210"/>
      <c r="J180" s="205"/>
    </row>
    <row r="181">
      <c r="A181" s="203"/>
      <c r="B181" s="203"/>
      <c r="C181" s="204"/>
      <c r="D181" s="205"/>
      <c r="E181" s="206"/>
      <c r="F181" s="207"/>
      <c r="G181" s="208"/>
      <c r="H181" s="209"/>
      <c r="I181" s="210"/>
      <c r="J181" s="205"/>
    </row>
    <row r="182">
      <c r="A182" s="203"/>
      <c r="B182" s="203"/>
      <c r="C182" s="204"/>
      <c r="D182" s="205"/>
      <c r="E182" s="206"/>
      <c r="F182" s="207"/>
      <c r="G182" s="208"/>
      <c r="H182" s="209"/>
      <c r="I182" s="210"/>
      <c r="J182" s="205"/>
    </row>
    <row r="183">
      <c r="A183" s="203"/>
      <c r="B183" s="203"/>
      <c r="C183" s="204"/>
      <c r="D183" s="205"/>
      <c r="E183" s="206"/>
      <c r="F183" s="207"/>
      <c r="G183" s="208"/>
      <c r="H183" s="209"/>
      <c r="I183" s="210"/>
      <c r="J183" s="205"/>
    </row>
    <row r="184">
      <c r="A184" s="203"/>
      <c r="B184" s="203"/>
      <c r="C184" s="204"/>
      <c r="D184" s="205"/>
      <c r="E184" s="206"/>
      <c r="F184" s="207"/>
      <c r="G184" s="208"/>
      <c r="H184" s="209"/>
      <c r="I184" s="210"/>
      <c r="J184" s="205"/>
    </row>
    <row r="185">
      <c r="A185" s="203"/>
      <c r="B185" s="203"/>
      <c r="C185" s="204"/>
      <c r="D185" s="205"/>
      <c r="E185" s="206"/>
      <c r="F185" s="207"/>
      <c r="G185" s="208"/>
      <c r="H185" s="209"/>
      <c r="I185" s="210"/>
      <c r="J185" s="205"/>
    </row>
    <row r="186">
      <c r="A186" s="203"/>
      <c r="B186" s="203"/>
      <c r="C186" s="204"/>
      <c r="D186" s="205"/>
      <c r="E186" s="206"/>
      <c r="F186" s="207"/>
      <c r="G186" s="208"/>
      <c r="H186" s="209"/>
      <c r="I186" s="210"/>
      <c r="J186" s="205"/>
    </row>
    <row r="187">
      <c r="A187" s="203"/>
      <c r="B187" s="203"/>
      <c r="C187" s="204"/>
      <c r="D187" s="205"/>
      <c r="E187" s="206"/>
      <c r="F187" s="207"/>
      <c r="G187" s="208"/>
      <c r="H187" s="209"/>
      <c r="I187" s="210"/>
      <c r="J187" s="205"/>
    </row>
    <row r="188">
      <c r="A188" s="203"/>
      <c r="B188" s="203"/>
      <c r="C188" s="204"/>
      <c r="D188" s="205"/>
      <c r="E188" s="206"/>
      <c r="F188" s="207"/>
      <c r="G188" s="208"/>
      <c r="H188" s="209"/>
      <c r="I188" s="210"/>
      <c r="J188" s="205"/>
    </row>
    <row r="189">
      <c r="A189" s="203"/>
      <c r="B189" s="203"/>
      <c r="C189" s="204"/>
      <c r="D189" s="205"/>
      <c r="E189" s="206"/>
      <c r="F189" s="207"/>
      <c r="G189" s="208"/>
      <c r="H189" s="209"/>
      <c r="I189" s="210"/>
      <c r="J189" s="205"/>
    </row>
    <row r="190">
      <c r="A190" s="203"/>
      <c r="B190" s="203"/>
      <c r="C190" s="204"/>
      <c r="D190" s="205"/>
      <c r="E190" s="206"/>
      <c r="F190" s="207"/>
      <c r="G190" s="208"/>
      <c r="H190" s="209"/>
      <c r="I190" s="210"/>
      <c r="J190" s="205"/>
    </row>
    <row r="191">
      <c r="A191" s="203"/>
      <c r="B191" s="203"/>
      <c r="C191" s="204"/>
      <c r="D191" s="205"/>
      <c r="E191" s="206"/>
      <c r="F191" s="207"/>
      <c r="G191" s="208"/>
      <c r="H191" s="209"/>
      <c r="I191" s="210"/>
      <c r="J191" s="205"/>
    </row>
    <row r="192">
      <c r="A192" s="203"/>
      <c r="B192" s="203"/>
      <c r="C192" s="204"/>
      <c r="D192" s="205"/>
      <c r="E192" s="206"/>
      <c r="F192" s="207"/>
      <c r="G192" s="208"/>
      <c r="H192" s="209"/>
      <c r="I192" s="210"/>
      <c r="J192" s="205"/>
    </row>
    <row r="193">
      <c r="A193" s="203"/>
      <c r="B193" s="203"/>
      <c r="C193" s="204"/>
      <c r="D193" s="205"/>
      <c r="E193" s="206"/>
      <c r="F193" s="207"/>
      <c r="G193" s="208"/>
      <c r="H193" s="209"/>
      <c r="I193" s="210"/>
      <c r="J193" s="205"/>
    </row>
    <row r="194">
      <c r="A194" s="203"/>
      <c r="B194" s="203"/>
      <c r="C194" s="204"/>
      <c r="D194" s="205"/>
      <c r="E194" s="206"/>
      <c r="F194" s="207"/>
      <c r="G194" s="208"/>
      <c r="H194" s="209"/>
      <c r="I194" s="210"/>
      <c r="J194" s="205"/>
    </row>
    <row r="195">
      <c r="A195" s="203"/>
      <c r="B195" s="203"/>
      <c r="C195" s="204"/>
      <c r="D195" s="205"/>
      <c r="E195" s="206"/>
      <c r="F195" s="207"/>
      <c r="G195" s="208"/>
      <c r="H195" s="209"/>
      <c r="I195" s="210"/>
      <c r="J195" s="205"/>
    </row>
    <row r="196">
      <c r="A196" s="203"/>
      <c r="B196" s="203"/>
      <c r="C196" s="204"/>
      <c r="D196" s="205"/>
      <c r="E196" s="206"/>
      <c r="F196" s="207"/>
      <c r="G196" s="208"/>
      <c r="H196" s="209"/>
      <c r="I196" s="210"/>
      <c r="J196" s="205"/>
    </row>
    <row r="197">
      <c r="A197" s="203"/>
      <c r="B197" s="203"/>
      <c r="C197" s="204"/>
      <c r="D197" s="205"/>
      <c r="E197" s="206"/>
      <c r="F197" s="207"/>
      <c r="G197" s="208"/>
      <c r="H197" s="209"/>
      <c r="I197" s="210"/>
      <c r="J197" s="205"/>
    </row>
    <row r="198">
      <c r="A198" s="203"/>
      <c r="B198" s="203"/>
      <c r="C198" s="204"/>
      <c r="D198" s="205"/>
      <c r="E198" s="206"/>
      <c r="F198" s="207"/>
      <c r="G198" s="208"/>
      <c r="H198" s="209"/>
      <c r="I198" s="210"/>
      <c r="J198" s="205"/>
    </row>
    <row r="199">
      <c r="A199" s="203"/>
      <c r="B199" s="203"/>
      <c r="C199" s="204"/>
      <c r="D199" s="205"/>
      <c r="E199" s="206"/>
      <c r="F199" s="207"/>
      <c r="G199" s="208"/>
      <c r="H199" s="209"/>
      <c r="I199" s="210"/>
      <c r="J199" s="205"/>
    </row>
    <row r="200">
      <c r="A200" s="203"/>
      <c r="B200" s="203"/>
      <c r="C200" s="204"/>
      <c r="D200" s="205"/>
      <c r="E200" s="206"/>
      <c r="F200" s="207"/>
      <c r="G200" s="208"/>
      <c r="H200" s="209"/>
      <c r="I200" s="210"/>
      <c r="J200" s="205"/>
    </row>
    <row r="201">
      <c r="A201" s="203"/>
      <c r="B201" s="203"/>
      <c r="C201" s="204"/>
      <c r="D201" s="205"/>
      <c r="E201" s="206"/>
      <c r="F201" s="207"/>
      <c r="G201" s="208"/>
      <c r="H201" s="209"/>
      <c r="I201" s="210"/>
      <c r="J201" s="205"/>
    </row>
    <row r="202">
      <c r="A202" s="203"/>
      <c r="B202" s="203"/>
      <c r="C202" s="204"/>
      <c r="D202" s="205"/>
      <c r="E202" s="206"/>
      <c r="F202" s="207"/>
      <c r="G202" s="208"/>
      <c r="H202" s="209"/>
      <c r="I202" s="210"/>
      <c r="J202" s="205"/>
    </row>
    <row r="203">
      <c r="A203" s="203"/>
      <c r="B203" s="203"/>
      <c r="C203" s="204"/>
      <c r="D203" s="205"/>
      <c r="E203" s="206"/>
      <c r="F203" s="207"/>
      <c r="G203" s="208"/>
      <c r="H203" s="209"/>
      <c r="I203" s="210"/>
      <c r="J203" s="205"/>
    </row>
    <row r="204">
      <c r="A204" s="203"/>
      <c r="B204" s="203"/>
      <c r="C204" s="204"/>
      <c r="D204" s="205"/>
      <c r="E204" s="206"/>
      <c r="F204" s="207"/>
      <c r="G204" s="208"/>
      <c r="H204" s="209"/>
      <c r="I204" s="210"/>
      <c r="J204" s="205"/>
    </row>
    <row r="205">
      <c r="A205" s="203"/>
      <c r="B205" s="203"/>
      <c r="C205" s="204"/>
      <c r="D205" s="205"/>
      <c r="E205" s="206"/>
      <c r="F205" s="207"/>
      <c r="G205" s="208"/>
      <c r="H205" s="209"/>
      <c r="I205" s="210"/>
      <c r="J205" s="205"/>
    </row>
    <row r="206">
      <c r="A206" s="203"/>
      <c r="B206" s="203"/>
      <c r="C206" s="204"/>
      <c r="D206" s="205"/>
      <c r="E206" s="206"/>
      <c r="F206" s="207"/>
      <c r="G206" s="208"/>
      <c r="H206" s="209"/>
      <c r="I206" s="210"/>
      <c r="J206" s="205"/>
    </row>
    <row r="207">
      <c r="A207" s="203"/>
      <c r="B207" s="203"/>
      <c r="C207" s="204"/>
      <c r="D207" s="205"/>
      <c r="E207" s="206"/>
      <c r="F207" s="207"/>
      <c r="G207" s="208"/>
      <c r="H207" s="209"/>
      <c r="I207" s="210"/>
      <c r="J207" s="205"/>
    </row>
    <row r="208">
      <c r="A208" s="203"/>
      <c r="B208" s="203"/>
      <c r="C208" s="204"/>
      <c r="D208" s="205"/>
      <c r="E208" s="206"/>
      <c r="F208" s="207"/>
      <c r="G208" s="208"/>
      <c r="H208" s="209"/>
      <c r="I208" s="210"/>
      <c r="J208" s="205"/>
    </row>
    <row r="209">
      <c r="A209" s="203"/>
      <c r="B209" s="203"/>
      <c r="C209" s="204"/>
      <c r="D209" s="205"/>
      <c r="E209" s="206"/>
      <c r="F209" s="207"/>
      <c r="G209" s="208"/>
      <c r="H209" s="209"/>
      <c r="I209" s="210"/>
      <c r="J209" s="205"/>
    </row>
    <row r="210">
      <c r="A210" s="203"/>
      <c r="B210" s="203"/>
      <c r="C210" s="204"/>
      <c r="D210" s="205"/>
      <c r="E210" s="206"/>
      <c r="F210" s="207"/>
      <c r="G210" s="208"/>
      <c r="H210" s="209"/>
      <c r="I210" s="210"/>
      <c r="J210" s="205"/>
    </row>
    <row r="211">
      <c r="A211" s="203"/>
      <c r="B211" s="203"/>
      <c r="C211" s="204"/>
      <c r="D211" s="205"/>
      <c r="E211" s="206"/>
      <c r="F211" s="207"/>
      <c r="G211" s="208"/>
      <c r="H211" s="209"/>
      <c r="I211" s="210"/>
      <c r="J211" s="205"/>
    </row>
    <row r="212">
      <c r="A212" s="203"/>
      <c r="B212" s="203"/>
      <c r="C212" s="204"/>
      <c r="D212" s="205"/>
      <c r="E212" s="206"/>
      <c r="F212" s="207"/>
      <c r="G212" s="208"/>
      <c r="H212" s="209"/>
      <c r="I212" s="210"/>
      <c r="J212" s="205"/>
    </row>
    <row r="213">
      <c r="A213" s="203"/>
      <c r="B213" s="203"/>
      <c r="C213" s="204"/>
      <c r="D213" s="205"/>
      <c r="E213" s="206"/>
      <c r="F213" s="207"/>
      <c r="G213" s="208"/>
      <c r="H213" s="209"/>
      <c r="I213" s="210"/>
      <c r="J213" s="205"/>
    </row>
    <row r="214">
      <c r="A214" s="203"/>
      <c r="B214" s="203"/>
      <c r="C214" s="204"/>
      <c r="D214" s="205"/>
      <c r="E214" s="206"/>
      <c r="F214" s="207"/>
      <c r="G214" s="208"/>
      <c r="H214" s="209"/>
      <c r="I214" s="210"/>
      <c r="J214" s="205"/>
    </row>
    <row r="215">
      <c r="A215" s="203"/>
      <c r="B215" s="203"/>
      <c r="C215" s="204"/>
      <c r="D215" s="205"/>
      <c r="E215" s="206"/>
      <c r="F215" s="207"/>
      <c r="G215" s="208"/>
      <c r="H215" s="209"/>
      <c r="I215" s="210"/>
      <c r="J215" s="205"/>
    </row>
    <row r="216">
      <c r="A216" s="203"/>
      <c r="B216" s="203"/>
      <c r="C216" s="204"/>
      <c r="D216" s="205"/>
      <c r="E216" s="206"/>
      <c r="F216" s="207"/>
      <c r="G216" s="208"/>
      <c r="H216" s="209"/>
      <c r="I216" s="210"/>
      <c r="J216" s="205"/>
    </row>
    <row r="217">
      <c r="A217" s="203"/>
      <c r="B217" s="203"/>
      <c r="C217" s="204"/>
      <c r="D217" s="205"/>
      <c r="E217" s="206"/>
      <c r="F217" s="207"/>
      <c r="G217" s="208"/>
      <c r="H217" s="209"/>
      <c r="I217" s="210"/>
      <c r="J217" s="205"/>
    </row>
    <row r="218">
      <c r="A218" s="203"/>
      <c r="B218" s="203"/>
      <c r="C218" s="204"/>
      <c r="D218" s="205"/>
      <c r="E218" s="206"/>
      <c r="F218" s="207"/>
      <c r="G218" s="208"/>
      <c r="H218" s="209"/>
      <c r="I218" s="210"/>
      <c r="J218" s="205"/>
    </row>
    <row r="219">
      <c r="A219" s="203"/>
      <c r="B219" s="203"/>
      <c r="C219" s="204"/>
      <c r="D219" s="205"/>
      <c r="E219" s="206"/>
      <c r="F219" s="207"/>
      <c r="G219" s="208"/>
      <c r="H219" s="209"/>
      <c r="I219" s="210"/>
      <c r="J219" s="205"/>
    </row>
    <row r="220">
      <c r="A220" s="203"/>
      <c r="B220" s="203"/>
      <c r="C220" s="204"/>
      <c r="D220" s="205"/>
      <c r="E220" s="206"/>
      <c r="F220" s="207"/>
      <c r="G220" s="208"/>
      <c r="H220" s="209"/>
      <c r="I220" s="210"/>
      <c r="J220" s="205"/>
    </row>
    <row r="221">
      <c r="A221" s="203"/>
      <c r="B221" s="203"/>
      <c r="C221" s="204"/>
      <c r="D221" s="205"/>
      <c r="E221" s="206"/>
      <c r="F221" s="207"/>
      <c r="G221" s="208"/>
      <c r="H221" s="209"/>
      <c r="I221" s="210"/>
      <c r="J221" s="205"/>
    </row>
    <row r="222">
      <c r="A222" s="203"/>
      <c r="B222" s="203"/>
      <c r="C222" s="204"/>
      <c r="D222" s="205"/>
      <c r="E222" s="206"/>
      <c r="F222" s="207"/>
      <c r="G222" s="208"/>
      <c r="H222" s="209"/>
      <c r="I222" s="210"/>
      <c r="J222" s="205"/>
    </row>
    <row r="223">
      <c r="A223" s="203"/>
      <c r="B223" s="203"/>
      <c r="C223" s="204"/>
      <c r="D223" s="205"/>
      <c r="E223" s="206"/>
      <c r="F223" s="207"/>
      <c r="G223" s="208"/>
      <c r="H223" s="209"/>
      <c r="I223" s="210"/>
      <c r="J223" s="205"/>
    </row>
    <row r="224">
      <c r="A224" s="203"/>
      <c r="B224" s="203"/>
      <c r="C224" s="204"/>
      <c r="D224" s="205"/>
      <c r="E224" s="206"/>
      <c r="F224" s="207"/>
      <c r="G224" s="208"/>
      <c r="H224" s="209"/>
      <c r="I224" s="210"/>
      <c r="J224" s="205"/>
    </row>
    <row r="225">
      <c r="A225" s="203"/>
      <c r="B225" s="203"/>
      <c r="C225" s="204"/>
      <c r="D225" s="205"/>
      <c r="E225" s="206"/>
      <c r="F225" s="207"/>
      <c r="G225" s="208"/>
      <c r="H225" s="209"/>
      <c r="I225" s="210"/>
      <c r="J225" s="205"/>
    </row>
    <row r="226">
      <c r="A226" s="203"/>
      <c r="B226" s="203"/>
      <c r="C226" s="204"/>
      <c r="D226" s="205"/>
      <c r="E226" s="206"/>
      <c r="F226" s="207"/>
      <c r="G226" s="208"/>
      <c r="H226" s="209"/>
      <c r="I226" s="210"/>
      <c r="J226" s="205"/>
    </row>
    <row r="227">
      <c r="A227" s="203"/>
      <c r="B227" s="203"/>
      <c r="C227" s="204"/>
      <c r="D227" s="205"/>
      <c r="E227" s="206"/>
      <c r="F227" s="207"/>
      <c r="G227" s="208"/>
      <c r="H227" s="209"/>
      <c r="I227" s="210"/>
      <c r="J227" s="205"/>
    </row>
    <row r="228">
      <c r="A228" s="203"/>
      <c r="B228" s="203"/>
      <c r="C228" s="204"/>
      <c r="D228" s="205"/>
      <c r="E228" s="206"/>
      <c r="F228" s="207"/>
      <c r="G228" s="208"/>
      <c r="H228" s="209"/>
      <c r="I228" s="210"/>
      <c r="J228" s="205"/>
    </row>
    <row r="229">
      <c r="A229" s="203"/>
      <c r="B229" s="203"/>
      <c r="C229" s="204"/>
      <c r="D229" s="205"/>
      <c r="E229" s="206"/>
      <c r="F229" s="207"/>
      <c r="G229" s="208"/>
      <c r="H229" s="209"/>
      <c r="I229" s="210"/>
      <c r="J229" s="205"/>
    </row>
    <row r="230">
      <c r="A230" s="203"/>
      <c r="B230" s="203"/>
      <c r="C230" s="204"/>
      <c r="D230" s="205"/>
      <c r="E230" s="206"/>
      <c r="F230" s="207"/>
      <c r="G230" s="208"/>
      <c r="H230" s="209"/>
      <c r="I230" s="210"/>
      <c r="J230" s="205"/>
    </row>
    <row r="231">
      <c r="A231" s="203"/>
      <c r="B231" s="203"/>
      <c r="C231" s="204"/>
      <c r="D231" s="205"/>
      <c r="E231" s="206"/>
      <c r="F231" s="207"/>
      <c r="G231" s="208"/>
      <c r="H231" s="209"/>
      <c r="I231" s="210"/>
      <c r="J231" s="205"/>
    </row>
    <row r="232">
      <c r="A232" s="203"/>
      <c r="B232" s="203"/>
      <c r="C232" s="204"/>
      <c r="D232" s="205"/>
      <c r="E232" s="206"/>
      <c r="F232" s="207"/>
      <c r="G232" s="208"/>
      <c r="H232" s="209"/>
      <c r="I232" s="210"/>
      <c r="J232" s="205"/>
    </row>
    <row r="233">
      <c r="A233" s="203"/>
      <c r="B233" s="203"/>
      <c r="C233" s="204"/>
      <c r="D233" s="205"/>
      <c r="E233" s="206"/>
      <c r="F233" s="207"/>
      <c r="G233" s="208"/>
      <c r="H233" s="209"/>
      <c r="I233" s="210"/>
      <c r="J233" s="205"/>
    </row>
    <row r="234">
      <c r="A234" s="203"/>
      <c r="B234" s="203"/>
      <c r="C234" s="204"/>
      <c r="D234" s="205"/>
      <c r="E234" s="206"/>
      <c r="F234" s="207"/>
      <c r="G234" s="208"/>
      <c r="H234" s="209"/>
      <c r="I234" s="210"/>
      <c r="J234" s="205"/>
    </row>
    <row r="235">
      <c r="A235" s="203"/>
      <c r="B235" s="203"/>
      <c r="C235" s="204"/>
      <c r="D235" s="205"/>
      <c r="E235" s="206"/>
      <c r="F235" s="207"/>
      <c r="G235" s="208"/>
      <c r="H235" s="209"/>
      <c r="I235" s="210"/>
      <c r="J235" s="205"/>
    </row>
    <row r="236">
      <c r="A236" s="203"/>
      <c r="B236" s="203"/>
      <c r="C236" s="204"/>
      <c r="D236" s="205"/>
      <c r="E236" s="206"/>
      <c r="F236" s="207"/>
      <c r="G236" s="208"/>
      <c r="H236" s="209"/>
      <c r="I236" s="210"/>
      <c r="J236" s="205"/>
    </row>
    <row r="237">
      <c r="A237" s="203"/>
      <c r="B237" s="203"/>
      <c r="C237" s="204"/>
      <c r="D237" s="205"/>
      <c r="E237" s="206"/>
      <c r="F237" s="207"/>
      <c r="G237" s="208"/>
      <c r="H237" s="209"/>
      <c r="I237" s="210"/>
      <c r="J237" s="205"/>
    </row>
    <row r="238">
      <c r="A238" s="203"/>
      <c r="B238" s="203"/>
      <c r="C238" s="204"/>
      <c r="D238" s="205"/>
      <c r="E238" s="206"/>
      <c r="F238" s="207"/>
      <c r="G238" s="208"/>
      <c r="H238" s="209"/>
      <c r="I238" s="210"/>
      <c r="J238" s="205"/>
    </row>
    <row r="239">
      <c r="A239" s="203"/>
      <c r="B239" s="203"/>
      <c r="C239" s="204"/>
      <c r="D239" s="205"/>
      <c r="E239" s="206"/>
      <c r="F239" s="207"/>
      <c r="G239" s="208"/>
      <c r="H239" s="209"/>
      <c r="I239" s="210"/>
      <c r="J239" s="205"/>
    </row>
    <row r="240">
      <c r="A240" s="203"/>
      <c r="B240" s="203"/>
      <c r="C240" s="204"/>
      <c r="D240" s="205"/>
      <c r="E240" s="206"/>
      <c r="F240" s="207"/>
      <c r="G240" s="208"/>
      <c r="H240" s="209"/>
      <c r="I240" s="210"/>
      <c r="J240" s="205"/>
    </row>
    <row r="241">
      <c r="A241" s="203"/>
      <c r="B241" s="203"/>
      <c r="C241" s="204"/>
      <c r="D241" s="205"/>
      <c r="E241" s="206"/>
      <c r="F241" s="207"/>
      <c r="G241" s="208"/>
      <c r="H241" s="209"/>
      <c r="I241" s="210"/>
      <c r="J241" s="205"/>
    </row>
    <row r="242">
      <c r="A242" s="203"/>
      <c r="B242" s="203"/>
      <c r="C242" s="204"/>
      <c r="D242" s="205"/>
      <c r="E242" s="206"/>
      <c r="F242" s="207"/>
      <c r="G242" s="208"/>
      <c r="H242" s="209"/>
      <c r="I242" s="210"/>
      <c r="J242" s="205"/>
    </row>
    <row r="243">
      <c r="A243" s="203"/>
      <c r="B243" s="203"/>
      <c r="C243" s="204"/>
      <c r="D243" s="205"/>
      <c r="E243" s="206"/>
      <c r="F243" s="207"/>
      <c r="G243" s="208"/>
      <c r="H243" s="209"/>
      <c r="I243" s="210"/>
      <c r="J243" s="205"/>
    </row>
    <row r="244">
      <c r="A244" s="203"/>
      <c r="B244" s="203"/>
      <c r="C244" s="204"/>
      <c r="D244" s="205"/>
      <c r="E244" s="206"/>
      <c r="F244" s="207"/>
      <c r="G244" s="208"/>
      <c r="H244" s="209"/>
      <c r="I244" s="210"/>
      <c r="J244" s="205"/>
    </row>
    <row r="245">
      <c r="A245" s="203"/>
      <c r="B245" s="203"/>
      <c r="C245" s="204"/>
      <c r="D245" s="205"/>
      <c r="E245" s="206"/>
      <c r="F245" s="207"/>
      <c r="G245" s="208"/>
      <c r="H245" s="209"/>
      <c r="I245" s="210"/>
      <c r="J245" s="205"/>
    </row>
    <row r="246">
      <c r="A246" s="203"/>
      <c r="B246" s="203"/>
      <c r="C246" s="204"/>
      <c r="D246" s="205"/>
      <c r="E246" s="206"/>
      <c r="F246" s="207"/>
      <c r="G246" s="208"/>
      <c r="H246" s="209"/>
      <c r="I246" s="210"/>
      <c r="J246" s="205"/>
    </row>
    <row r="247">
      <c r="A247" s="203"/>
      <c r="B247" s="203"/>
      <c r="C247" s="204"/>
      <c r="D247" s="205"/>
      <c r="E247" s="206"/>
      <c r="F247" s="207"/>
      <c r="G247" s="208"/>
      <c r="H247" s="209"/>
      <c r="I247" s="210"/>
      <c r="J247" s="205"/>
    </row>
    <row r="248">
      <c r="A248" s="203"/>
      <c r="B248" s="203"/>
      <c r="C248" s="204"/>
      <c r="D248" s="205"/>
      <c r="E248" s="206"/>
      <c r="F248" s="207"/>
      <c r="G248" s="208"/>
      <c r="H248" s="209"/>
      <c r="I248" s="210"/>
      <c r="J248" s="205"/>
    </row>
    <row r="249">
      <c r="A249" s="203"/>
      <c r="B249" s="203"/>
      <c r="C249" s="204"/>
      <c r="D249" s="205"/>
      <c r="E249" s="206"/>
      <c r="F249" s="207"/>
      <c r="G249" s="208"/>
      <c r="H249" s="209"/>
      <c r="I249" s="210"/>
      <c r="J249" s="205"/>
    </row>
    <row r="250">
      <c r="A250" s="203"/>
      <c r="B250" s="203"/>
      <c r="C250" s="204"/>
      <c r="D250" s="205"/>
      <c r="E250" s="206"/>
      <c r="F250" s="207"/>
      <c r="G250" s="208"/>
      <c r="H250" s="209"/>
      <c r="I250" s="210"/>
      <c r="J250" s="205"/>
    </row>
    <row r="251">
      <c r="A251" s="203"/>
      <c r="B251" s="203"/>
      <c r="C251" s="204"/>
      <c r="D251" s="205"/>
      <c r="E251" s="206"/>
      <c r="F251" s="207"/>
      <c r="G251" s="208"/>
      <c r="H251" s="209"/>
      <c r="I251" s="210"/>
      <c r="J251" s="205"/>
    </row>
    <row r="252">
      <c r="A252" s="203"/>
      <c r="B252" s="203"/>
      <c r="C252" s="204"/>
      <c r="D252" s="205"/>
      <c r="E252" s="206"/>
      <c r="F252" s="207"/>
      <c r="G252" s="208"/>
      <c r="H252" s="209"/>
      <c r="I252" s="210"/>
      <c r="J252" s="205"/>
    </row>
    <row r="253">
      <c r="A253" s="203"/>
      <c r="B253" s="203"/>
      <c r="C253" s="204"/>
      <c r="D253" s="205"/>
      <c r="E253" s="206"/>
      <c r="F253" s="207"/>
      <c r="G253" s="208"/>
      <c r="H253" s="209"/>
      <c r="I253" s="210"/>
      <c r="J253" s="205"/>
    </row>
    <row r="254">
      <c r="A254" s="203"/>
      <c r="B254" s="203"/>
      <c r="C254" s="204"/>
      <c r="D254" s="205"/>
      <c r="E254" s="206"/>
      <c r="F254" s="207"/>
      <c r="G254" s="208"/>
      <c r="H254" s="209"/>
      <c r="I254" s="210"/>
      <c r="J254" s="205"/>
    </row>
    <row r="255">
      <c r="A255" s="203"/>
      <c r="B255" s="203"/>
      <c r="C255" s="204"/>
      <c r="D255" s="205"/>
      <c r="E255" s="206"/>
      <c r="F255" s="207"/>
      <c r="G255" s="208"/>
      <c r="H255" s="209"/>
      <c r="I255" s="210"/>
      <c r="J255" s="205"/>
    </row>
    <row r="256">
      <c r="A256" s="203"/>
      <c r="B256" s="203"/>
      <c r="C256" s="204"/>
      <c r="D256" s="205"/>
      <c r="E256" s="206"/>
      <c r="F256" s="207"/>
      <c r="G256" s="208"/>
      <c r="H256" s="209"/>
      <c r="I256" s="210"/>
      <c r="J256" s="205"/>
    </row>
    <row r="257">
      <c r="A257" s="203"/>
      <c r="B257" s="203"/>
      <c r="C257" s="204"/>
      <c r="D257" s="205"/>
      <c r="E257" s="206"/>
      <c r="F257" s="207"/>
      <c r="G257" s="208"/>
      <c r="H257" s="209"/>
      <c r="I257" s="210"/>
      <c r="J257" s="205"/>
    </row>
    <row r="258">
      <c r="A258" s="203"/>
      <c r="B258" s="203"/>
      <c r="C258" s="204"/>
      <c r="D258" s="205"/>
      <c r="E258" s="206"/>
      <c r="F258" s="207"/>
      <c r="G258" s="208"/>
      <c r="H258" s="209"/>
      <c r="I258" s="210"/>
      <c r="J258" s="205"/>
    </row>
    <row r="259">
      <c r="A259" s="203"/>
      <c r="B259" s="203"/>
      <c r="C259" s="204"/>
      <c r="D259" s="205"/>
      <c r="E259" s="206"/>
      <c r="F259" s="207"/>
      <c r="G259" s="208"/>
      <c r="H259" s="209"/>
      <c r="I259" s="210"/>
      <c r="J259" s="205"/>
    </row>
    <row r="260">
      <c r="A260" s="203"/>
      <c r="B260" s="203"/>
      <c r="C260" s="204"/>
      <c r="D260" s="205"/>
      <c r="E260" s="206"/>
      <c r="F260" s="207"/>
      <c r="G260" s="208"/>
      <c r="H260" s="209"/>
      <c r="I260" s="210"/>
      <c r="J260" s="205"/>
    </row>
    <row r="261">
      <c r="A261" s="203"/>
      <c r="B261" s="203"/>
      <c r="C261" s="204"/>
      <c r="D261" s="205"/>
      <c r="E261" s="206"/>
      <c r="F261" s="207"/>
      <c r="G261" s="208"/>
      <c r="H261" s="209"/>
      <c r="I261" s="210"/>
      <c r="J261" s="205"/>
    </row>
    <row r="262">
      <c r="A262" s="203"/>
      <c r="B262" s="203"/>
      <c r="C262" s="204"/>
      <c r="D262" s="205"/>
      <c r="E262" s="206"/>
      <c r="F262" s="207"/>
      <c r="G262" s="208"/>
      <c r="H262" s="209"/>
      <c r="I262" s="210"/>
      <c r="J262" s="205"/>
    </row>
    <row r="263">
      <c r="A263" s="203"/>
      <c r="B263" s="203"/>
      <c r="C263" s="204"/>
      <c r="D263" s="205"/>
      <c r="E263" s="206"/>
      <c r="F263" s="207"/>
      <c r="G263" s="208"/>
      <c r="H263" s="209"/>
      <c r="I263" s="210"/>
      <c r="J263" s="205"/>
    </row>
    <row r="264">
      <c r="A264" s="203"/>
      <c r="B264" s="203"/>
      <c r="C264" s="204"/>
      <c r="D264" s="205"/>
      <c r="E264" s="206"/>
      <c r="F264" s="207"/>
      <c r="G264" s="208"/>
      <c r="H264" s="209"/>
      <c r="I264" s="210"/>
      <c r="J264" s="205"/>
    </row>
    <row r="265">
      <c r="A265" s="203"/>
      <c r="B265" s="203"/>
      <c r="C265" s="204"/>
      <c r="D265" s="205"/>
      <c r="E265" s="206"/>
      <c r="F265" s="207"/>
      <c r="G265" s="208"/>
      <c r="H265" s="209"/>
      <c r="I265" s="210"/>
      <c r="J265" s="205"/>
    </row>
    <row r="266">
      <c r="A266" s="203"/>
      <c r="B266" s="203"/>
      <c r="C266" s="204"/>
      <c r="D266" s="205"/>
      <c r="E266" s="206"/>
      <c r="F266" s="207"/>
      <c r="G266" s="208"/>
      <c r="H266" s="209"/>
      <c r="I266" s="210"/>
      <c r="J266" s="205"/>
    </row>
    <row r="267">
      <c r="A267" s="203"/>
      <c r="B267" s="203"/>
      <c r="C267" s="204"/>
      <c r="D267" s="205"/>
      <c r="E267" s="206"/>
      <c r="F267" s="207"/>
      <c r="G267" s="208"/>
      <c r="H267" s="209"/>
      <c r="I267" s="210"/>
      <c r="J267" s="205"/>
    </row>
    <row r="268">
      <c r="A268" s="203"/>
      <c r="B268" s="203"/>
      <c r="C268" s="204"/>
      <c r="D268" s="205"/>
      <c r="E268" s="206"/>
      <c r="F268" s="207"/>
      <c r="G268" s="208"/>
      <c r="H268" s="209"/>
      <c r="I268" s="210"/>
      <c r="J268" s="205"/>
    </row>
    <row r="269">
      <c r="A269" s="203"/>
      <c r="B269" s="203"/>
      <c r="C269" s="204"/>
      <c r="D269" s="205"/>
      <c r="E269" s="206"/>
      <c r="F269" s="207"/>
      <c r="G269" s="208"/>
      <c r="H269" s="209"/>
      <c r="I269" s="210"/>
      <c r="J269" s="205"/>
    </row>
    <row r="270">
      <c r="A270" s="203"/>
      <c r="B270" s="203"/>
      <c r="C270" s="204"/>
      <c r="D270" s="205"/>
      <c r="E270" s="206"/>
      <c r="F270" s="207"/>
      <c r="G270" s="208"/>
      <c r="H270" s="209"/>
      <c r="I270" s="210"/>
      <c r="J270" s="205"/>
    </row>
    <row r="271">
      <c r="A271" s="203"/>
      <c r="B271" s="203"/>
      <c r="C271" s="204"/>
      <c r="D271" s="205"/>
      <c r="E271" s="206"/>
      <c r="F271" s="207"/>
      <c r="G271" s="208"/>
      <c r="H271" s="209"/>
      <c r="I271" s="210"/>
      <c r="J271" s="205"/>
    </row>
    <row r="272">
      <c r="A272" s="203"/>
      <c r="B272" s="203"/>
      <c r="C272" s="204"/>
      <c r="D272" s="205"/>
      <c r="E272" s="206"/>
      <c r="F272" s="207"/>
      <c r="G272" s="208"/>
      <c r="H272" s="209"/>
      <c r="I272" s="210"/>
      <c r="J272" s="205"/>
    </row>
    <row r="273">
      <c r="A273" s="203"/>
      <c r="B273" s="203"/>
      <c r="C273" s="204"/>
      <c r="D273" s="205"/>
      <c r="E273" s="206"/>
      <c r="F273" s="207"/>
      <c r="G273" s="208"/>
      <c r="H273" s="209"/>
      <c r="I273" s="210"/>
      <c r="J273" s="205"/>
    </row>
    <row r="274">
      <c r="A274" s="203"/>
      <c r="B274" s="203"/>
      <c r="C274" s="204"/>
      <c r="D274" s="205"/>
      <c r="E274" s="206"/>
      <c r="F274" s="207"/>
      <c r="G274" s="208"/>
      <c r="H274" s="209"/>
      <c r="I274" s="210"/>
      <c r="J274" s="205"/>
    </row>
    <row r="275">
      <c r="A275" s="203"/>
      <c r="B275" s="203"/>
      <c r="C275" s="204"/>
      <c r="D275" s="205"/>
      <c r="E275" s="206"/>
      <c r="F275" s="207"/>
      <c r="G275" s="208"/>
      <c r="H275" s="209"/>
      <c r="I275" s="210"/>
      <c r="J275" s="205"/>
    </row>
    <row r="276">
      <c r="A276" s="203"/>
      <c r="B276" s="203"/>
      <c r="C276" s="204"/>
      <c r="D276" s="205"/>
      <c r="E276" s="206"/>
      <c r="F276" s="207"/>
      <c r="G276" s="208"/>
      <c r="H276" s="209"/>
      <c r="I276" s="210"/>
      <c r="J276" s="205"/>
    </row>
    <row r="277">
      <c r="A277" s="203"/>
      <c r="B277" s="203"/>
      <c r="C277" s="204"/>
      <c r="D277" s="205"/>
      <c r="E277" s="206"/>
      <c r="F277" s="207"/>
      <c r="G277" s="208"/>
      <c r="H277" s="209"/>
      <c r="I277" s="210"/>
      <c r="J277" s="205"/>
    </row>
    <row r="278">
      <c r="A278" s="203"/>
      <c r="B278" s="203"/>
      <c r="C278" s="204"/>
      <c r="D278" s="205"/>
      <c r="E278" s="206"/>
      <c r="F278" s="207"/>
      <c r="G278" s="208"/>
      <c r="H278" s="209"/>
      <c r="I278" s="210"/>
      <c r="J278" s="205"/>
    </row>
    <row r="279">
      <c r="A279" s="203"/>
      <c r="B279" s="203"/>
      <c r="C279" s="204"/>
      <c r="D279" s="205"/>
      <c r="E279" s="206"/>
      <c r="F279" s="207"/>
      <c r="G279" s="208"/>
      <c r="H279" s="209"/>
      <c r="I279" s="210"/>
      <c r="J279" s="205"/>
    </row>
    <row r="280">
      <c r="A280" s="203"/>
      <c r="B280" s="203"/>
      <c r="C280" s="204"/>
      <c r="D280" s="205"/>
      <c r="E280" s="206"/>
      <c r="F280" s="207"/>
      <c r="G280" s="208"/>
      <c r="H280" s="209"/>
      <c r="I280" s="210"/>
      <c r="J280" s="205"/>
    </row>
    <row r="281">
      <c r="A281" s="203"/>
      <c r="B281" s="203"/>
      <c r="C281" s="204"/>
      <c r="D281" s="205"/>
      <c r="E281" s="206"/>
      <c r="F281" s="207"/>
      <c r="G281" s="208"/>
      <c r="H281" s="209"/>
      <c r="I281" s="210"/>
      <c r="J281" s="205"/>
    </row>
    <row r="282">
      <c r="A282" s="203"/>
      <c r="B282" s="203"/>
      <c r="C282" s="204"/>
      <c r="D282" s="205"/>
      <c r="E282" s="206"/>
      <c r="F282" s="207"/>
      <c r="G282" s="208"/>
      <c r="H282" s="209"/>
      <c r="I282" s="210"/>
      <c r="J282" s="205"/>
    </row>
    <row r="283">
      <c r="A283" s="203"/>
      <c r="B283" s="203"/>
      <c r="C283" s="204"/>
      <c r="D283" s="205"/>
      <c r="E283" s="206"/>
      <c r="F283" s="207"/>
      <c r="G283" s="208"/>
      <c r="H283" s="209"/>
      <c r="I283" s="210"/>
      <c r="J283" s="205"/>
    </row>
    <row r="284">
      <c r="A284" s="203"/>
      <c r="B284" s="203"/>
      <c r="C284" s="204"/>
      <c r="D284" s="205"/>
      <c r="E284" s="206"/>
      <c r="F284" s="207"/>
      <c r="G284" s="208"/>
      <c r="H284" s="209"/>
      <c r="I284" s="210"/>
      <c r="J284" s="205"/>
    </row>
    <row r="285">
      <c r="A285" s="203"/>
      <c r="B285" s="203"/>
      <c r="C285" s="204"/>
      <c r="D285" s="205"/>
      <c r="E285" s="206"/>
      <c r="F285" s="207"/>
      <c r="G285" s="208"/>
      <c r="H285" s="209"/>
      <c r="I285" s="210"/>
      <c r="J285" s="205"/>
    </row>
    <row r="286">
      <c r="A286" s="203"/>
      <c r="B286" s="203"/>
      <c r="C286" s="204"/>
      <c r="D286" s="205"/>
      <c r="E286" s="206"/>
      <c r="F286" s="207"/>
      <c r="G286" s="208"/>
      <c r="H286" s="209"/>
      <c r="I286" s="210"/>
      <c r="J286" s="205"/>
    </row>
    <row r="287">
      <c r="A287" s="203"/>
      <c r="B287" s="203"/>
      <c r="C287" s="204"/>
      <c r="D287" s="205"/>
      <c r="E287" s="206"/>
      <c r="F287" s="207"/>
      <c r="G287" s="208"/>
      <c r="H287" s="209"/>
      <c r="I287" s="210"/>
      <c r="J287" s="205"/>
    </row>
    <row r="288">
      <c r="A288" s="203"/>
      <c r="B288" s="203"/>
      <c r="C288" s="204"/>
      <c r="D288" s="205"/>
      <c r="E288" s="206"/>
      <c r="F288" s="207"/>
      <c r="G288" s="208"/>
      <c r="H288" s="209"/>
      <c r="I288" s="210"/>
      <c r="J288" s="205"/>
    </row>
    <row r="289">
      <c r="A289" s="203"/>
      <c r="B289" s="203"/>
      <c r="C289" s="204"/>
      <c r="D289" s="205"/>
      <c r="E289" s="206"/>
      <c r="F289" s="207"/>
      <c r="G289" s="208"/>
      <c r="H289" s="209"/>
      <c r="I289" s="210"/>
      <c r="J289" s="205"/>
    </row>
    <row r="290">
      <c r="A290" s="203"/>
      <c r="B290" s="203"/>
      <c r="C290" s="204"/>
      <c r="D290" s="205"/>
      <c r="E290" s="206"/>
      <c r="F290" s="207"/>
      <c r="G290" s="208"/>
      <c r="H290" s="209"/>
      <c r="I290" s="210"/>
      <c r="J290" s="205"/>
    </row>
    <row r="291">
      <c r="A291" s="203"/>
      <c r="B291" s="203"/>
      <c r="C291" s="204"/>
      <c r="D291" s="205"/>
      <c r="E291" s="206"/>
      <c r="F291" s="207"/>
      <c r="G291" s="208"/>
      <c r="H291" s="209"/>
      <c r="I291" s="210"/>
      <c r="J291" s="205"/>
    </row>
    <row r="292">
      <c r="A292" s="203"/>
      <c r="B292" s="203"/>
      <c r="C292" s="204"/>
      <c r="D292" s="205"/>
      <c r="E292" s="206"/>
      <c r="F292" s="207"/>
      <c r="G292" s="208"/>
      <c r="H292" s="209"/>
      <c r="I292" s="210"/>
      <c r="J292" s="205"/>
    </row>
    <row r="293">
      <c r="A293" s="203"/>
      <c r="B293" s="203"/>
      <c r="C293" s="204"/>
      <c r="D293" s="205"/>
      <c r="E293" s="206"/>
      <c r="F293" s="207"/>
      <c r="G293" s="208"/>
      <c r="H293" s="209"/>
      <c r="I293" s="210"/>
      <c r="J293" s="205"/>
    </row>
    <row r="294">
      <c r="A294" s="203"/>
      <c r="B294" s="203"/>
      <c r="C294" s="204"/>
      <c r="D294" s="205"/>
      <c r="E294" s="206"/>
      <c r="F294" s="207"/>
      <c r="G294" s="208"/>
      <c r="H294" s="209"/>
      <c r="I294" s="210"/>
      <c r="J294" s="205"/>
    </row>
    <row r="295">
      <c r="A295" s="203"/>
      <c r="B295" s="203"/>
      <c r="C295" s="204"/>
      <c r="D295" s="205"/>
      <c r="E295" s="206"/>
      <c r="F295" s="207"/>
      <c r="G295" s="208"/>
      <c r="H295" s="209"/>
      <c r="I295" s="210"/>
      <c r="J295" s="205"/>
    </row>
    <row r="296">
      <c r="A296" s="203"/>
      <c r="B296" s="203"/>
      <c r="C296" s="204"/>
      <c r="D296" s="205"/>
      <c r="E296" s="206"/>
      <c r="F296" s="207"/>
      <c r="G296" s="208"/>
      <c r="H296" s="209"/>
      <c r="I296" s="210"/>
      <c r="J296" s="205"/>
    </row>
    <row r="297">
      <c r="A297" s="203"/>
      <c r="B297" s="203"/>
      <c r="C297" s="204"/>
      <c r="D297" s="205"/>
      <c r="E297" s="206"/>
      <c r="F297" s="207"/>
      <c r="G297" s="208"/>
      <c r="H297" s="209"/>
      <c r="I297" s="210"/>
      <c r="J297" s="205"/>
    </row>
    <row r="298">
      <c r="A298" s="203"/>
      <c r="B298" s="203"/>
      <c r="C298" s="204"/>
      <c r="D298" s="205"/>
      <c r="E298" s="206"/>
      <c r="F298" s="207"/>
      <c r="G298" s="208"/>
      <c r="H298" s="209"/>
      <c r="I298" s="210"/>
      <c r="J298" s="205"/>
    </row>
    <row r="299">
      <c r="A299" s="203"/>
      <c r="B299" s="203"/>
      <c r="C299" s="204"/>
      <c r="D299" s="205"/>
      <c r="E299" s="206"/>
      <c r="F299" s="207"/>
      <c r="G299" s="208"/>
      <c r="H299" s="209"/>
      <c r="I299" s="210"/>
      <c r="J299" s="205"/>
    </row>
    <row r="300">
      <c r="A300" s="203"/>
      <c r="B300" s="203"/>
      <c r="C300" s="204"/>
      <c r="D300" s="205"/>
      <c r="E300" s="206"/>
      <c r="F300" s="207"/>
      <c r="G300" s="208"/>
      <c r="H300" s="209"/>
      <c r="I300" s="210"/>
      <c r="J300" s="205"/>
    </row>
    <row r="301">
      <c r="A301" s="203"/>
      <c r="B301" s="203"/>
      <c r="C301" s="204"/>
      <c r="D301" s="205"/>
      <c r="E301" s="206"/>
      <c r="F301" s="207"/>
      <c r="G301" s="208"/>
      <c r="H301" s="209"/>
      <c r="I301" s="210"/>
      <c r="J301" s="205"/>
    </row>
    <row r="302">
      <c r="A302" s="203"/>
      <c r="B302" s="203"/>
      <c r="C302" s="204"/>
      <c r="D302" s="205"/>
      <c r="E302" s="206"/>
      <c r="F302" s="207"/>
      <c r="G302" s="208"/>
      <c r="H302" s="209"/>
      <c r="I302" s="210"/>
      <c r="J302" s="205"/>
    </row>
    <row r="303">
      <c r="A303" s="203"/>
      <c r="B303" s="203"/>
      <c r="C303" s="204"/>
      <c r="D303" s="205"/>
      <c r="E303" s="206"/>
      <c r="F303" s="207"/>
      <c r="G303" s="208"/>
      <c r="H303" s="209"/>
      <c r="I303" s="210"/>
      <c r="J303" s="205"/>
    </row>
    <row r="304">
      <c r="A304" s="203"/>
      <c r="B304" s="203"/>
      <c r="C304" s="204"/>
      <c r="D304" s="205"/>
      <c r="E304" s="206"/>
      <c r="F304" s="207"/>
      <c r="G304" s="208"/>
      <c r="H304" s="209"/>
      <c r="I304" s="210"/>
      <c r="J304" s="205"/>
    </row>
    <row r="305">
      <c r="A305" s="203"/>
      <c r="B305" s="203"/>
      <c r="C305" s="204"/>
      <c r="D305" s="205"/>
      <c r="E305" s="206"/>
      <c r="F305" s="207"/>
      <c r="G305" s="208"/>
      <c r="H305" s="209"/>
      <c r="I305" s="210"/>
      <c r="J305" s="205"/>
    </row>
    <row r="306">
      <c r="A306" s="203"/>
      <c r="B306" s="203"/>
      <c r="C306" s="204"/>
      <c r="D306" s="205"/>
      <c r="E306" s="206"/>
      <c r="F306" s="207"/>
      <c r="G306" s="208"/>
      <c r="H306" s="209"/>
      <c r="I306" s="210"/>
      <c r="J306" s="205"/>
    </row>
    <row r="307">
      <c r="A307" s="203"/>
      <c r="B307" s="203"/>
      <c r="C307" s="204"/>
      <c r="D307" s="205"/>
      <c r="E307" s="206"/>
      <c r="F307" s="207"/>
      <c r="G307" s="208"/>
      <c r="H307" s="209"/>
      <c r="I307" s="210"/>
      <c r="J307" s="205"/>
    </row>
    <row r="308">
      <c r="A308" s="203"/>
      <c r="B308" s="203"/>
      <c r="C308" s="204"/>
      <c r="D308" s="205"/>
      <c r="E308" s="206"/>
      <c r="F308" s="207"/>
      <c r="G308" s="208"/>
      <c r="H308" s="209"/>
      <c r="I308" s="210"/>
      <c r="J308" s="205"/>
    </row>
    <row r="309">
      <c r="A309" s="203"/>
      <c r="B309" s="203"/>
      <c r="C309" s="204"/>
      <c r="D309" s="205"/>
      <c r="E309" s="206"/>
      <c r="F309" s="207"/>
      <c r="G309" s="208"/>
      <c r="H309" s="209"/>
      <c r="I309" s="210"/>
      <c r="J309" s="205"/>
    </row>
    <row r="310">
      <c r="A310" s="203"/>
      <c r="B310" s="203"/>
      <c r="C310" s="204"/>
      <c r="D310" s="205"/>
      <c r="E310" s="206"/>
      <c r="F310" s="207"/>
      <c r="G310" s="208"/>
      <c r="H310" s="209"/>
      <c r="I310" s="210"/>
      <c r="J310" s="205"/>
    </row>
    <row r="311">
      <c r="A311" s="203"/>
      <c r="B311" s="203"/>
      <c r="C311" s="204"/>
      <c r="D311" s="205"/>
      <c r="E311" s="206"/>
      <c r="F311" s="207"/>
      <c r="G311" s="208"/>
      <c r="H311" s="209"/>
      <c r="I311" s="210"/>
      <c r="J311" s="205"/>
    </row>
    <row r="312">
      <c r="A312" s="203"/>
      <c r="B312" s="203"/>
      <c r="C312" s="204"/>
      <c r="D312" s="205"/>
      <c r="E312" s="206"/>
      <c r="F312" s="207"/>
      <c r="G312" s="208"/>
      <c r="H312" s="209"/>
      <c r="I312" s="210"/>
      <c r="J312" s="205"/>
    </row>
    <row r="313">
      <c r="A313" s="203"/>
      <c r="B313" s="203"/>
      <c r="C313" s="204"/>
      <c r="D313" s="205"/>
      <c r="E313" s="206"/>
      <c r="F313" s="207"/>
      <c r="G313" s="208"/>
      <c r="H313" s="209"/>
      <c r="I313" s="210"/>
      <c r="J313" s="205"/>
    </row>
    <row r="314">
      <c r="A314" s="203"/>
      <c r="B314" s="203"/>
      <c r="C314" s="204"/>
      <c r="D314" s="205"/>
      <c r="E314" s="206"/>
      <c r="F314" s="207"/>
      <c r="G314" s="208"/>
      <c r="H314" s="209"/>
      <c r="I314" s="210"/>
      <c r="J314" s="205"/>
    </row>
    <row r="315">
      <c r="A315" s="203"/>
      <c r="B315" s="203"/>
      <c r="C315" s="204"/>
      <c r="D315" s="205"/>
      <c r="E315" s="206"/>
      <c r="F315" s="207"/>
      <c r="G315" s="208"/>
      <c r="H315" s="209"/>
      <c r="I315" s="210"/>
      <c r="J315" s="205"/>
    </row>
    <row r="316">
      <c r="A316" s="203"/>
      <c r="B316" s="203"/>
      <c r="C316" s="204"/>
      <c r="D316" s="205"/>
      <c r="E316" s="206"/>
      <c r="F316" s="207"/>
      <c r="G316" s="208"/>
      <c r="H316" s="209"/>
      <c r="I316" s="210"/>
      <c r="J316" s="205"/>
    </row>
    <row r="317">
      <c r="A317" s="203"/>
      <c r="B317" s="203"/>
      <c r="C317" s="204"/>
      <c r="D317" s="205"/>
      <c r="E317" s="206"/>
      <c r="F317" s="207"/>
      <c r="G317" s="208"/>
      <c r="H317" s="209"/>
      <c r="I317" s="210"/>
      <c r="J317" s="205"/>
    </row>
    <row r="318">
      <c r="A318" s="203"/>
      <c r="B318" s="203"/>
      <c r="C318" s="204"/>
      <c r="D318" s="205"/>
      <c r="E318" s="206"/>
      <c r="F318" s="207"/>
      <c r="G318" s="208"/>
      <c r="H318" s="209"/>
      <c r="I318" s="210"/>
      <c r="J318" s="205"/>
    </row>
    <row r="319">
      <c r="A319" s="203"/>
      <c r="B319" s="203"/>
      <c r="C319" s="204"/>
      <c r="D319" s="205"/>
      <c r="E319" s="206"/>
      <c r="F319" s="207"/>
      <c r="G319" s="208"/>
      <c r="H319" s="209"/>
      <c r="I319" s="210"/>
      <c r="J319" s="205"/>
    </row>
    <row r="320">
      <c r="A320" s="203"/>
      <c r="B320" s="203"/>
      <c r="C320" s="204"/>
      <c r="D320" s="205"/>
      <c r="E320" s="206"/>
      <c r="F320" s="207"/>
      <c r="G320" s="208"/>
      <c r="H320" s="209"/>
      <c r="I320" s="210"/>
      <c r="J320" s="205"/>
    </row>
    <row r="321">
      <c r="A321" s="203"/>
      <c r="B321" s="203"/>
      <c r="C321" s="204"/>
      <c r="D321" s="205"/>
      <c r="E321" s="206"/>
      <c r="F321" s="207"/>
      <c r="G321" s="208"/>
      <c r="H321" s="209"/>
      <c r="I321" s="210"/>
      <c r="J321" s="205"/>
    </row>
    <row r="322">
      <c r="A322" s="203"/>
      <c r="B322" s="203"/>
      <c r="C322" s="204"/>
      <c r="D322" s="205"/>
      <c r="E322" s="206"/>
      <c r="F322" s="207"/>
      <c r="G322" s="208"/>
      <c r="H322" s="209"/>
      <c r="I322" s="210"/>
      <c r="J322" s="205"/>
    </row>
    <row r="323">
      <c r="A323" s="203"/>
      <c r="B323" s="203"/>
      <c r="C323" s="204"/>
      <c r="D323" s="205"/>
      <c r="E323" s="206"/>
      <c r="F323" s="207"/>
      <c r="G323" s="208"/>
      <c r="H323" s="209"/>
      <c r="I323" s="210"/>
      <c r="J323" s="205"/>
    </row>
    <row r="324">
      <c r="A324" s="203"/>
      <c r="B324" s="203"/>
      <c r="C324" s="204"/>
      <c r="D324" s="205"/>
      <c r="E324" s="206"/>
      <c r="F324" s="207"/>
      <c r="G324" s="208"/>
      <c r="H324" s="209"/>
      <c r="I324" s="210"/>
      <c r="J324" s="205"/>
    </row>
    <row r="325">
      <c r="A325" s="203"/>
      <c r="B325" s="203"/>
      <c r="C325" s="204"/>
      <c r="D325" s="205"/>
      <c r="E325" s="206"/>
      <c r="F325" s="207"/>
      <c r="G325" s="208"/>
      <c r="H325" s="209"/>
      <c r="I325" s="210"/>
      <c r="J325" s="205"/>
    </row>
    <row r="326">
      <c r="A326" s="203"/>
      <c r="B326" s="203"/>
      <c r="C326" s="204"/>
      <c r="D326" s="205"/>
      <c r="E326" s="206"/>
      <c r="F326" s="207"/>
      <c r="G326" s="208"/>
      <c r="H326" s="209"/>
      <c r="I326" s="210"/>
      <c r="J326" s="205"/>
    </row>
    <row r="327">
      <c r="A327" s="203"/>
      <c r="B327" s="203"/>
      <c r="C327" s="204"/>
      <c r="D327" s="205"/>
      <c r="E327" s="206"/>
      <c r="F327" s="207"/>
      <c r="G327" s="208"/>
      <c r="H327" s="209"/>
      <c r="I327" s="210"/>
      <c r="J327" s="205"/>
    </row>
    <row r="328">
      <c r="A328" s="203"/>
      <c r="B328" s="203"/>
      <c r="C328" s="204"/>
      <c r="D328" s="205"/>
      <c r="E328" s="206"/>
      <c r="F328" s="207"/>
      <c r="G328" s="208"/>
      <c r="H328" s="209"/>
      <c r="I328" s="210"/>
      <c r="J328" s="205"/>
    </row>
    <row r="329">
      <c r="A329" s="203"/>
      <c r="B329" s="203"/>
      <c r="C329" s="204"/>
      <c r="D329" s="205"/>
      <c r="E329" s="206"/>
      <c r="F329" s="207"/>
      <c r="G329" s="208"/>
      <c r="H329" s="209"/>
      <c r="I329" s="210"/>
      <c r="J329" s="205"/>
    </row>
    <row r="330">
      <c r="A330" s="203"/>
      <c r="B330" s="203"/>
      <c r="C330" s="204"/>
      <c r="D330" s="205"/>
      <c r="E330" s="206"/>
      <c r="F330" s="207"/>
      <c r="G330" s="208"/>
      <c r="H330" s="209"/>
      <c r="I330" s="210"/>
      <c r="J330" s="205"/>
    </row>
    <row r="331">
      <c r="A331" s="203"/>
      <c r="B331" s="203"/>
      <c r="C331" s="204"/>
      <c r="D331" s="205"/>
      <c r="E331" s="206"/>
      <c r="F331" s="207"/>
      <c r="G331" s="208"/>
      <c r="H331" s="209"/>
      <c r="I331" s="210"/>
      <c r="J331" s="205"/>
    </row>
    <row r="332">
      <c r="A332" s="203"/>
      <c r="B332" s="203"/>
      <c r="C332" s="204"/>
      <c r="D332" s="205"/>
      <c r="E332" s="206"/>
      <c r="F332" s="207"/>
      <c r="G332" s="208"/>
      <c r="H332" s="209"/>
      <c r="I332" s="210"/>
      <c r="J332" s="205"/>
    </row>
    <row r="333">
      <c r="A333" s="203"/>
      <c r="B333" s="203"/>
      <c r="C333" s="204"/>
      <c r="D333" s="205"/>
      <c r="E333" s="206"/>
      <c r="F333" s="207"/>
      <c r="G333" s="208"/>
      <c r="H333" s="209"/>
      <c r="I333" s="210"/>
      <c r="J333" s="205"/>
    </row>
    <row r="334">
      <c r="A334" s="203"/>
      <c r="B334" s="203"/>
      <c r="C334" s="204"/>
      <c r="D334" s="205"/>
      <c r="E334" s="206"/>
      <c r="F334" s="207"/>
      <c r="G334" s="208"/>
      <c r="H334" s="209"/>
      <c r="I334" s="210"/>
      <c r="J334" s="205"/>
    </row>
    <row r="335">
      <c r="A335" s="203"/>
      <c r="B335" s="203"/>
      <c r="C335" s="204"/>
      <c r="D335" s="205"/>
      <c r="E335" s="206"/>
      <c r="F335" s="207"/>
      <c r="G335" s="208"/>
      <c r="H335" s="209"/>
      <c r="I335" s="210"/>
      <c r="J335" s="205"/>
    </row>
    <row r="336">
      <c r="A336" s="203"/>
      <c r="B336" s="203"/>
      <c r="C336" s="204"/>
      <c r="D336" s="205"/>
      <c r="E336" s="206"/>
      <c r="F336" s="207"/>
      <c r="G336" s="208"/>
      <c r="H336" s="209"/>
      <c r="I336" s="210"/>
      <c r="J336" s="205"/>
    </row>
    <row r="337">
      <c r="A337" s="203"/>
      <c r="B337" s="203"/>
      <c r="C337" s="204"/>
      <c r="D337" s="205"/>
      <c r="E337" s="206"/>
      <c r="F337" s="207"/>
      <c r="G337" s="208"/>
      <c r="H337" s="209"/>
      <c r="I337" s="210"/>
      <c r="J337" s="205"/>
    </row>
    <row r="338">
      <c r="A338" s="203"/>
      <c r="B338" s="203"/>
      <c r="C338" s="204"/>
      <c r="D338" s="205"/>
      <c r="E338" s="206"/>
      <c r="F338" s="207"/>
      <c r="G338" s="208"/>
      <c r="H338" s="209"/>
      <c r="I338" s="210"/>
      <c r="J338" s="205"/>
    </row>
    <row r="339">
      <c r="A339" s="203"/>
      <c r="B339" s="203"/>
      <c r="C339" s="204"/>
      <c r="D339" s="205"/>
      <c r="E339" s="206"/>
      <c r="F339" s="207"/>
      <c r="G339" s="208"/>
      <c r="H339" s="209"/>
      <c r="I339" s="210"/>
      <c r="J339" s="205"/>
    </row>
    <row r="340">
      <c r="A340" s="203"/>
      <c r="B340" s="203"/>
      <c r="C340" s="204"/>
      <c r="D340" s="205"/>
      <c r="E340" s="206"/>
      <c r="F340" s="207"/>
      <c r="G340" s="208"/>
      <c r="H340" s="209"/>
      <c r="I340" s="210"/>
      <c r="J340" s="205"/>
    </row>
    <row r="341">
      <c r="A341" s="203"/>
      <c r="B341" s="203"/>
      <c r="C341" s="204"/>
      <c r="D341" s="205"/>
      <c r="E341" s="206"/>
      <c r="F341" s="207"/>
      <c r="G341" s="208"/>
      <c r="H341" s="209"/>
      <c r="I341" s="210"/>
      <c r="J341" s="205"/>
    </row>
    <row r="342">
      <c r="A342" s="203"/>
      <c r="B342" s="203"/>
      <c r="C342" s="204"/>
      <c r="D342" s="205"/>
      <c r="E342" s="206"/>
      <c r="F342" s="207"/>
      <c r="G342" s="208"/>
      <c r="H342" s="209"/>
      <c r="I342" s="210"/>
      <c r="J342" s="205"/>
    </row>
    <row r="343">
      <c r="A343" s="203"/>
      <c r="B343" s="203"/>
      <c r="C343" s="204"/>
      <c r="D343" s="205"/>
      <c r="E343" s="206"/>
      <c r="F343" s="207"/>
      <c r="G343" s="208"/>
      <c r="H343" s="209"/>
      <c r="I343" s="210"/>
      <c r="J343" s="205"/>
    </row>
    <row r="344">
      <c r="A344" s="203"/>
      <c r="B344" s="203"/>
      <c r="C344" s="204"/>
      <c r="D344" s="205"/>
      <c r="E344" s="206"/>
      <c r="F344" s="207"/>
      <c r="G344" s="208"/>
      <c r="H344" s="209"/>
      <c r="I344" s="210"/>
      <c r="J344" s="205"/>
    </row>
    <row r="345">
      <c r="A345" s="203"/>
      <c r="B345" s="203"/>
      <c r="C345" s="204"/>
      <c r="D345" s="205"/>
      <c r="E345" s="206"/>
      <c r="F345" s="207"/>
      <c r="G345" s="208"/>
      <c r="H345" s="209"/>
      <c r="I345" s="210"/>
      <c r="J345" s="205"/>
    </row>
    <row r="346">
      <c r="A346" s="203"/>
      <c r="B346" s="203"/>
      <c r="C346" s="204"/>
      <c r="D346" s="205"/>
      <c r="E346" s="206"/>
      <c r="F346" s="207"/>
      <c r="G346" s="208"/>
      <c r="H346" s="209"/>
      <c r="I346" s="210"/>
      <c r="J346" s="205"/>
    </row>
    <row r="347">
      <c r="A347" s="203"/>
      <c r="B347" s="203"/>
      <c r="C347" s="204"/>
      <c r="D347" s="205"/>
      <c r="E347" s="206"/>
      <c r="F347" s="207"/>
      <c r="G347" s="208"/>
      <c r="H347" s="209"/>
      <c r="I347" s="210"/>
      <c r="J347" s="205"/>
    </row>
    <row r="348">
      <c r="A348" s="203"/>
      <c r="B348" s="203"/>
      <c r="C348" s="204"/>
      <c r="D348" s="205"/>
      <c r="E348" s="206"/>
      <c r="F348" s="207"/>
      <c r="G348" s="208"/>
      <c r="H348" s="209"/>
      <c r="I348" s="210"/>
      <c r="J348" s="205"/>
    </row>
    <row r="349">
      <c r="A349" s="203"/>
      <c r="B349" s="203"/>
      <c r="C349" s="204"/>
      <c r="D349" s="205"/>
      <c r="E349" s="206"/>
      <c r="F349" s="207"/>
      <c r="G349" s="208"/>
      <c r="H349" s="209"/>
      <c r="I349" s="210"/>
      <c r="J349" s="205"/>
    </row>
    <row r="350">
      <c r="A350" s="203"/>
      <c r="B350" s="203"/>
      <c r="C350" s="204"/>
      <c r="D350" s="205"/>
      <c r="E350" s="206"/>
      <c r="F350" s="207"/>
      <c r="G350" s="208"/>
      <c r="H350" s="209"/>
      <c r="I350" s="210"/>
      <c r="J350" s="205"/>
    </row>
    <row r="351">
      <c r="A351" s="203"/>
      <c r="B351" s="203"/>
      <c r="C351" s="204"/>
      <c r="D351" s="205"/>
      <c r="E351" s="206"/>
      <c r="F351" s="207"/>
      <c r="G351" s="208"/>
      <c r="H351" s="209"/>
      <c r="I351" s="210"/>
      <c r="J351" s="205"/>
    </row>
    <row r="352">
      <c r="A352" s="203"/>
      <c r="B352" s="203"/>
      <c r="C352" s="204"/>
      <c r="D352" s="205"/>
      <c r="E352" s="206"/>
      <c r="F352" s="207"/>
      <c r="G352" s="208"/>
      <c r="H352" s="209"/>
      <c r="I352" s="210"/>
      <c r="J352" s="205"/>
    </row>
    <row r="353">
      <c r="A353" s="203"/>
      <c r="B353" s="203"/>
      <c r="C353" s="204"/>
      <c r="D353" s="205"/>
      <c r="E353" s="206"/>
      <c r="F353" s="207"/>
      <c r="G353" s="208"/>
      <c r="H353" s="209"/>
      <c r="I353" s="210"/>
      <c r="J353" s="205"/>
    </row>
    <row r="354">
      <c r="A354" s="203"/>
      <c r="B354" s="203"/>
      <c r="C354" s="204"/>
      <c r="D354" s="205"/>
      <c r="E354" s="206"/>
      <c r="F354" s="207"/>
      <c r="G354" s="208"/>
      <c r="H354" s="209"/>
      <c r="I354" s="210"/>
      <c r="J354" s="205"/>
    </row>
    <row r="355">
      <c r="A355" s="203"/>
      <c r="B355" s="203"/>
      <c r="C355" s="204"/>
      <c r="D355" s="205"/>
      <c r="E355" s="206"/>
      <c r="F355" s="207"/>
      <c r="G355" s="208"/>
      <c r="H355" s="209"/>
      <c r="I355" s="210"/>
      <c r="J355" s="205"/>
    </row>
    <row r="356">
      <c r="A356" s="203"/>
      <c r="B356" s="203"/>
      <c r="C356" s="204"/>
      <c r="D356" s="205"/>
      <c r="E356" s="206"/>
      <c r="F356" s="207"/>
      <c r="G356" s="208"/>
      <c r="H356" s="209"/>
      <c r="I356" s="210"/>
      <c r="J356" s="205"/>
    </row>
    <row r="357">
      <c r="A357" s="203"/>
      <c r="B357" s="203"/>
      <c r="C357" s="204"/>
      <c r="D357" s="205"/>
      <c r="E357" s="206"/>
      <c r="F357" s="207"/>
      <c r="G357" s="208"/>
      <c r="H357" s="209"/>
      <c r="I357" s="210"/>
      <c r="J357" s="205"/>
    </row>
    <row r="358">
      <c r="A358" s="203"/>
      <c r="B358" s="203"/>
      <c r="C358" s="204"/>
      <c r="D358" s="205"/>
      <c r="E358" s="206"/>
      <c r="F358" s="207"/>
      <c r="G358" s="208"/>
      <c r="H358" s="209"/>
      <c r="I358" s="210"/>
      <c r="J358" s="205"/>
    </row>
    <row r="359">
      <c r="A359" s="203"/>
      <c r="B359" s="203"/>
      <c r="C359" s="204"/>
      <c r="D359" s="205"/>
      <c r="E359" s="206"/>
      <c r="F359" s="207"/>
      <c r="G359" s="208"/>
      <c r="H359" s="209"/>
      <c r="I359" s="210"/>
      <c r="J359" s="205"/>
    </row>
    <row r="360">
      <c r="A360" s="203"/>
      <c r="B360" s="203"/>
      <c r="C360" s="204"/>
      <c r="D360" s="205"/>
      <c r="E360" s="206"/>
      <c r="F360" s="207"/>
      <c r="G360" s="208"/>
      <c r="H360" s="209"/>
      <c r="I360" s="210"/>
      <c r="J360" s="205"/>
    </row>
    <row r="361">
      <c r="A361" s="203"/>
      <c r="B361" s="203"/>
      <c r="C361" s="204"/>
      <c r="D361" s="205"/>
      <c r="E361" s="206"/>
      <c r="F361" s="207"/>
      <c r="G361" s="208"/>
      <c r="H361" s="209"/>
      <c r="I361" s="210"/>
      <c r="J361" s="205"/>
    </row>
    <row r="362">
      <c r="A362" s="203"/>
      <c r="B362" s="203"/>
      <c r="C362" s="204"/>
      <c r="D362" s="205"/>
      <c r="E362" s="206"/>
      <c r="F362" s="207"/>
      <c r="G362" s="208"/>
      <c r="H362" s="209"/>
      <c r="I362" s="210"/>
      <c r="J362" s="205"/>
    </row>
    <row r="363">
      <c r="A363" s="203"/>
      <c r="B363" s="203"/>
      <c r="C363" s="204"/>
      <c r="D363" s="205"/>
      <c r="E363" s="206"/>
      <c r="F363" s="207"/>
      <c r="G363" s="208"/>
      <c r="H363" s="209"/>
      <c r="I363" s="210"/>
      <c r="J363" s="205"/>
    </row>
    <row r="364">
      <c r="A364" s="203"/>
      <c r="B364" s="203"/>
      <c r="C364" s="204"/>
      <c r="D364" s="205"/>
      <c r="E364" s="206"/>
      <c r="F364" s="207"/>
      <c r="G364" s="208"/>
      <c r="H364" s="209"/>
      <c r="I364" s="210"/>
      <c r="J364" s="205"/>
    </row>
    <row r="365">
      <c r="A365" s="203"/>
      <c r="B365" s="203"/>
      <c r="C365" s="204"/>
      <c r="D365" s="205"/>
      <c r="E365" s="206"/>
      <c r="F365" s="207"/>
      <c r="G365" s="208"/>
      <c r="H365" s="209"/>
      <c r="I365" s="210"/>
      <c r="J365" s="205"/>
    </row>
    <row r="366">
      <c r="A366" s="203"/>
      <c r="B366" s="203"/>
      <c r="C366" s="204"/>
      <c r="D366" s="205"/>
      <c r="E366" s="206"/>
      <c r="F366" s="207"/>
      <c r="G366" s="208"/>
      <c r="H366" s="209"/>
      <c r="I366" s="210"/>
      <c r="J366" s="205"/>
    </row>
    <row r="367">
      <c r="A367" s="203"/>
      <c r="B367" s="203"/>
      <c r="C367" s="204"/>
      <c r="D367" s="205"/>
      <c r="E367" s="206"/>
      <c r="F367" s="207"/>
      <c r="G367" s="208"/>
      <c r="H367" s="209"/>
      <c r="I367" s="210"/>
      <c r="J367" s="205"/>
    </row>
    <row r="368">
      <c r="A368" s="203"/>
      <c r="B368" s="203"/>
      <c r="C368" s="204"/>
      <c r="D368" s="205"/>
      <c r="E368" s="206"/>
      <c r="F368" s="207"/>
      <c r="G368" s="208"/>
      <c r="H368" s="209"/>
      <c r="I368" s="210"/>
      <c r="J368" s="205"/>
    </row>
    <row r="369">
      <c r="A369" s="203"/>
      <c r="B369" s="203"/>
      <c r="C369" s="204"/>
      <c r="D369" s="205"/>
      <c r="E369" s="206"/>
      <c r="F369" s="207"/>
      <c r="G369" s="208"/>
      <c r="H369" s="209"/>
      <c r="I369" s="210"/>
      <c r="J369" s="205"/>
    </row>
    <row r="370">
      <c r="A370" s="203"/>
      <c r="B370" s="203"/>
      <c r="C370" s="204"/>
      <c r="D370" s="205"/>
      <c r="E370" s="206"/>
      <c r="F370" s="207"/>
      <c r="G370" s="208"/>
      <c r="H370" s="209"/>
      <c r="I370" s="210"/>
      <c r="J370" s="205"/>
    </row>
    <row r="371">
      <c r="A371" s="203"/>
      <c r="B371" s="203"/>
      <c r="C371" s="204"/>
      <c r="D371" s="205"/>
      <c r="E371" s="206"/>
      <c r="F371" s="207"/>
      <c r="G371" s="208"/>
      <c r="H371" s="209"/>
      <c r="I371" s="210"/>
      <c r="J371" s="205"/>
    </row>
    <row r="372">
      <c r="A372" s="203"/>
      <c r="B372" s="203"/>
      <c r="C372" s="204"/>
      <c r="D372" s="205"/>
      <c r="E372" s="206"/>
      <c r="F372" s="207"/>
      <c r="G372" s="208"/>
      <c r="H372" s="209"/>
      <c r="I372" s="210"/>
      <c r="J372" s="205"/>
    </row>
    <row r="373">
      <c r="A373" s="203"/>
      <c r="B373" s="203"/>
      <c r="C373" s="204"/>
      <c r="D373" s="205"/>
      <c r="E373" s="206"/>
      <c r="F373" s="207"/>
      <c r="G373" s="208"/>
      <c r="H373" s="209"/>
      <c r="I373" s="210"/>
      <c r="J373" s="205"/>
    </row>
    <row r="374">
      <c r="A374" s="203"/>
      <c r="B374" s="203"/>
      <c r="C374" s="204"/>
      <c r="D374" s="205"/>
      <c r="E374" s="206"/>
      <c r="F374" s="207"/>
      <c r="G374" s="208"/>
      <c r="H374" s="209"/>
      <c r="I374" s="210"/>
      <c r="J374" s="205"/>
    </row>
    <row r="375">
      <c r="A375" s="203"/>
      <c r="B375" s="203"/>
      <c r="C375" s="204"/>
      <c r="D375" s="205"/>
      <c r="E375" s="206"/>
      <c r="F375" s="207"/>
      <c r="G375" s="208"/>
      <c r="H375" s="209"/>
      <c r="I375" s="210"/>
      <c r="J375" s="205"/>
    </row>
    <row r="376">
      <c r="A376" s="203"/>
      <c r="B376" s="203"/>
      <c r="C376" s="204"/>
      <c r="D376" s="205"/>
      <c r="E376" s="206"/>
      <c r="F376" s="207"/>
      <c r="G376" s="208"/>
      <c r="H376" s="209"/>
      <c r="I376" s="210"/>
      <c r="J376" s="205"/>
    </row>
    <row r="377">
      <c r="A377" s="203"/>
      <c r="B377" s="203"/>
      <c r="C377" s="204"/>
      <c r="D377" s="205"/>
      <c r="E377" s="206"/>
      <c r="F377" s="207"/>
      <c r="G377" s="208"/>
      <c r="H377" s="209"/>
      <c r="I377" s="210"/>
      <c r="J377" s="205"/>
    </row>
    <row r="378">
      <c r="A378" s="203"/>
      <c r="B378" s="203"/>
      <c r="C378" s="204"/>
      <c r="D378" s="205"/>
      <c r="E378" s="206"/>
      <c r="F378" s="207"/>
      <c r="G378" s="208"/>
      <c r="H378" s="209"/>
      <c r="I378" s="210"/>
      <c r="J378" s="205"/>
    </row>
    <row r="379">
      <c r="A379" s="203"/>
      <c r="B379" s="203"/>
      <c r="C379" s="204"/>
      <c r="D379" s="205"/>
      <c r="E379" s="206"/>
      <c r="F379" s="207"/>
      <c r="G379" s="208"/>
      <c r="H379" s="209"/>
      <c r="I379" s="210"/>
      <c r="J379" s="205"/>
    </row>
    <row r="380">
      <c r="A380" s="203"/>
      <c r="B380" s="203"/>
      <c r="C380" s="204"/>
      <c r="D380" s="205"/>
      <c r="E380" s="206"/>
      <c r="F380" s="207"/>
      <c r="G380" s="208"/>
      <c r="H380" s="209"/>
      <c r="I380" s="210"/>
      <c r="J380" s="205"/>
    </row>
    <row r="381">
      <c r="A381" s="203"/>
      <c r="B381" s="203"/>
      <c r="C381" s="204"/>
      <c r="D381" s="205"/>
      <c r="E381" s="206"/>
      <c r="F381" s="207"/>
      <c r="G381" s="208"/>
      <c r="H381" s="209"/>
      <c r="I381" s="210"/>
      <c r="J381" s="205"/>
    </row>
    <row r="382">
      <c r="A382" s="203"/>
      <c r="B382" s="203"/>
      <c r="C382" s="204"/>
      <c r="D382" s="205"/>
      <c r="E382" s="206"/>
      <c r="F382" s="207"/>
      <c r="G382" s="208"/>
      <c r="H382" s="209"/>
      <c r="I382" s="210"/>
      <c r="J382" s="205"/>
    </row>
    <row r="383">
      <c r="A383" s="203"/>
      <c r="B383" s="203"/>
      <c r="C383" s="204"/>
      <c r="D383" s="205"/>
      <c r="E383" s="206"/>
      <c r="F383" s="207"/>
      <c r="G383" s="208"/>
      <c r="H383" s="209"/>
      <c r="I383" s="210"/>
      <c r="J383" s="205"/>
    </row>
    <row r="384">
      <c r="A384" s="203"/>
      <c r="B384" s="203"/>
      <c r="C384" s="204"/>
      <c r="D384" s="205"/>
      <c r="E384" s="206"/>
      <c r="F384" s="207"/>
      <c r="G384" s="208"/>
      <c r="H384" s="209"/>
      <c r="I384" s="210"/>
      <c r="J384" s="205"/>
    </row>
    <row r="385">
      <c r="A385" s="203"/>
      <c r="B385" s="203"/>
      <c r="C385" s="204"/>
      <c r="D385" s="205"/>
      <c r="E385" s="206"/>
      <c r="F385" s="207"/>
      <c r="G385" s="208"/>
      <c r="H385" s="209"/>
      <c r="I385" s="210"/>
      <c r="J385" s="205"/>
    </row>
    <row r="386">
      <c r="A386" s="203"/>
      <c r="B386" s="203"/>
      <c r="C386" s="204"/>
      <c r="D386" s="205"/>
      <c r="E386" s="206"/>
      <c r="F386" s="207"/>
      <c r="G386" s="208"/>
      <c r="H386" s="209"/>
      <c r="I386" s="210"/>
      <c r="J386" s="205"/>
    </row>
    <row r="387">
      <c r="A387" s="203"/>
      <c r="B387" s="203"/>
      <c r="C387" s="204"/>
      <c r="D387" s="205"/>
      <c r="E387" s="206"/>
      <c r="F387" s="207"/>
      <c r="G387" s="208"/>
      <c r="H387" s="209"/>
      <c r="I387" s="210"/>
      <c r="J387" s="205"/>
    </row>
    <row r="388">
      <c r="A388" s="203"/>
      <c r="B388" s="203"/>
      <c r="C388" s="204"/>
      <c r="D388" s="205"/>
      <c r="E388" s="206"/>
      <c r="F388" s="207"/>
      <c r="G388" s="208"/>
      <c r="H388" s="209"/>
      <c r="I388" s="210"/>
      <c r="J388" s="205"/>
    </row>
    <row r="389">
      <c r="A389" s="203"/>
      <c r="B389" s="203"/>
      <c r="C389" s="204"/>
      <c r="D389" s="205"/>
      <c r="E389" s="206"/>
      <c r="F389" s="207"/>
      <c r="G389" s="208"/>
      <c r="H389" s="209"/>
      <c r="I389" s="210"/>
      <c r="J389" s="205"/>
    </row>
    <row r="390">
      <c r="A390" s="203"/>
      <c r="B390" s="203"/>
      <c r="C390" s="204"/>
      <c r="D390" s="205"/>
      <c r="E390" s="206"/>
      <c r="F390" s="207"/>
      <c r="G390" s="208"/>
      <c r="H390" s="209"/>
      <c r="I390" s="210"/>
      <c r="J390" s="205"/>
    </row>
    <row r="391">
      <c r="A391" s="203"/>
      <c r="B391" s="203"/>
      <c r="C391" s="204"/>
      <c r="D391" s="205"/>
      <c r="E391" s="206"/>
      <c r="F391" s="207"/>
      <c r="G391" s="208"/>
      <c r="H391" s="209"/>
      <c r="I391" s="210"/>
      <c r="J391" s="205"/>
    </row>
    <row r="392">
      <c r="A392" s="203"/>
      <c r="B392" s="203"/>
      <c r="C392" s="204"/>
      <c r="D392" s="205"/>
      <c r="E392" s="206"/>
      <c r="F392" s="207"/>
      <c r="G392" s="208"/>
      <c r="H392" s="209"/>
      <c r="I392" s="210"/>
      <c r="J392" s="205"/>
    </row>
    <row r="393">
      <c r="A393" s="203"/>
      <c r="B393" s="203"/>
      <c r="C393" s="204"/>
      <c r="D393" s="205"/>
      <c r="E393" s="206"/>
      <c r="F393" s="207"/>
      <c r="G393" s="208"/>
      <c r="H393" s="209"/>
      <c r="I393" s="210"/>
      <c r="J393" s="205"/>
    </row>
    <row r="394">
      <c r="A394" s="203"/>
      <c r="B394" s="203"/>
      <c r="C394" s="204"/>
      <c r="D394" s="205"/>
      <c r="E394" s="206"/>
      <c r="F394" s="207"/>
      <c r="G394" s="208"/>
      <c r="H394" s="209"/>
      <c r="I394" s="210"/>
      <c r="J394" s="205"/>
    </row>
    <row r="395">
      <c r="A395" s="203"/>
      <c r="B395" s="203"/>
      <c r="C395" s="204"/>
      <c r="D395" s="205"/>
      <c r="E395" s="206"/>
      <c r="F395" s="207"/>
      <c r="G395" s="208"/>
      <c r="H395" s="209"/>
      <c r="I395" s="210"/>
      <c r="J395" s="205"/>
    </row>
    <row r="396">
      <c r="A396" s="203"/>
      <c r="B396" s="203"/>
      <c r="C396" s="204"/>
      <c r="D396" s="205"/>
      <c r="E396" s="206"/>
      <c r="F396" s="207"/>
      <c r="G396" s="208"/>
      <c r="H396" s="209"/>
      <c r="I396" s="210"/>
      <c r="J396" s="205"/>
    </row>
    <row r="397">
      <c r="A397" s="203"/>
      <c r="B397" s="203"/>
      <c r="C397" s="204"/>
      <c r="D397" s="205"/>
      <c r="E397" s="206"/>
      <c r="F397" s="207"/>
      <c r="G397" s="208"/>
      <c r="H397" s="209"/>
      <c r="I397" s="210"/>
      <c r="J397" s="205"/>
    </row>
    <row r="398">
      <c r="A398" s="203"/>
      <c r="B398" s="203"/>
      <c r="C398" s="204"/>
      <c r="D398" s="205"/>
      <c r="E398" s="206"/>
      <c r="F398" s="207"/>
      <c r="G398" s="208"/>
      <c r="H398" s="209"/>
      <c r="I398" s="210"/>
      <c r="J398" s="205"/>
    </row>
    <row r="399">
      <c r="A399" s="203"/>
      <c r="B399" s="203"/>
      <c r="C399" s="204"/>
      <c r="D399" s="205"/>
      <c r="E399" s="206"/>
      <c r="F399" s="207"/>
      <c r="G399" s="208"/>
      <c r="H399" s="209"/>
      <c r="I399" s="210"/>
      <c r="J399" s="205"/>
    </row>
    <row r="400">
      <c r="A400" s="203"/>
      <c r="B400" s="203"/>
      <c r="C400" s="204"/>
      <c r="D400" s="205"/>
      <c r="E400" s="206"/>
      <c r="F400" s="207"/>
      <c r="G400" s="208"/>
      <c r="H400" s="209"/>
      <c r="I400" s="210"/>
      <c r="J400" s="205"/>
    </row>
    <row r="401">
      <c r="A401" s="203"/>
      <c r="B401" s="203"/>
      <c r="C401" s="204"/>
      <c r="D401" s="205"/>
      <c r="E401" s="206"/>
      <c r="F401" s="207"/>
      <c r="G401" s="208"/>
      <c r="H401" s="209"/>
      <c r="I401" s="210"/>
      <c r="J401" s="205"/>
    </row>
    <row r="402">
      <c r="A402" s="203"/>
      <c r="B402" s="203"/>
      <c r="C402" s="204"/>
      <c r="D402" s="205"/>
      <c r="E402" s="206"/>
      <c r="F402" s="207"/>
      <c r="G402" s="208"/>
      <c r="H402" s="209"/>
      <c r="I402" s="210"/>
      <c r="J402" s="205"/>
    </row>
    <row r="403">
      <c r="A403" s="203"/>
      <c r="B403" s="203"/>
      <c r="C403" s="204"/>
      <c r="D403" s="205"/>
      <c r="E403" s="206"/>
      <c r="F403" s="207"/>
      <c r="G403" s="208"/>
      <c r="H403" s="209"/>
      <c r="I403" s="210"/>
      <c r="J403" s="205"/>
    </row>
    <row r="404">
      <c r="A404" s="203"/>
      <c r="B404" s="203"/>
      <c r="C404" s="204"/>
      <c r="D404" s="205"/>
      <c r="E404" s="206"/>
      <c r="F404" s="207"/>
      <c r="G404" s="208"/>
      <c r="H404" s="209"/>
      <c r="I404" s="210"/>
      <c r="J404" s="205"/>
    </row>
    <row r="405">
      <c r="A405" s="203"/>
      <c r="B405" s="203"/>
      <c r="C405" s="204"/>
      <c r="D405" s="205"/>
      <c r="E405" s="206"/>
      <c r="F405" s="207"/>
      <c r="G405" s="208"/>
      <c r="H405" s="209"/>
      <c r="I405" s="210"/>
      <c r="J405" s="205"/>
    </row>
    <row r="406">
      <c r="A406" s="203"/>
      <c r="B406" s="203"/>
      <c r="C406" s="204"/>
      <c r="D406" s="205"/>
      <c r="E406" s="206"/>
      <c r="F406" s="207"/>
      <c r="G406" s="208"/>
      <c r="H406" s="209"/>
      <c r="I406" s="210"/>
      <c r="J406" s="205"/>
    </row>
    <row r="407">
      <c r="A407" s="203"/>
      <c r="B407" s="203"/>
      <c r="C407" s="204"/>
      <c r="D407" s="205"/>
      <c r="E407" s="206"/>
      <c r="F407" s="207"/>
      <c r="G407" s="208"/>
      <c r="H407" s="209"/>
      <c r="I407" s="210"/>
      <c r="J407" s="205"/>
    </row>
    <row r="408">
      <c r="A408" s="203"/>
      <c r="B408" s="203"/>
      <c r="C408" s="204"/>
      <c r="D408" s="205"/>
      <c r="E408" s="206"/>
      <c r="F408" s="207"/>
      <c r="G408" s="208"/>
      <c r="H408" s="209"/>
      <c r="I408" s="210"/>
      <c r="J408" s="205"/>
    </row>
    <row r="409">
      <c r="A409" s="203"/>
      <c r="B409" s="203"/>
      <c r="C409" s="204"/>
      <c r="D409" s="205"/>
      <c r="E409" s="206"/>
      <c r="F409" s="207"/>
      <c r="G409" s="208"/>
      <c r="H409" s="209"/>
      <c r="I409" s="210"/>
      <c r="J409" s="205"/>
    </row>
    <row r="410">
      <c r="A410" s="203"/>
      <c r="B410" s="203"/>
      <c r="C410" s="204"/>
      <c r="D410" s="205"/>
      <c r="E410" s="206"/>
      <c r="F410" s="207"/>
      <c r="G410" s="208"/>
      <c r="H410" s="209"/>
      <c r="I410" s="210"/>
      <c r="J410" s="205"/>
    </row>
    <row r="411">
      <c r="A411" s="203"/>
      <c r="B411" s="203"/>
      <c r="C411" s="204"/>
      <c r="D411" s="205"/>
      <c r="E411" s="206"/>
      <c r="F411" s="207"/>
      <c r="G411" s="208"/>
      <c r="H411" s="209"/>
      <c r="I411" s="210"/>
      <c r="J411" s="205"/>
    </row>
    <row r="412">
      <c r="A412" s="203"/>
      <c r="B412" s="203"/>
      <c r="C412" s="204"/>
      <c r="D412" s="205"/>
      <c r="E412" s="206"/>
      <c r="F412" s="207"/>
      <c r="G412" s="208"/>
      <c r="H412" s="209"/>
      <c r="I412" s="210"/>
      <c r="J412" s="205"/>
    </row>
    <row r="413">
      <c r="A413" s="203"/>
      <c r="B413" s="203"/>
      <c r="C413" s="204"/>
      <c r="D413" s="205"/>
      <c r="E413" s="206"/>
      <c r="F413" s="207"/>
      <c r="G413" s="208"/>
      <c r="H413" s="209"/>
      <c r="I413" s="210"/>
      <c r="J413" s="205"/>
    </row>
    <row r="414">
      <c r="A414" s="203"/>
      <c r="B414" s="203"/>
      <c r="C414" s="204"/>
      <c r="D414" s="205"/>
      <c r="E414" s="206"/>
      <c r="F414" s="207"/>
      <c r="G414" s="208"/>
      <c r="H414" s="209"/>
      <c r="I414" s="210"/>
      <c r="J414" s="205"/>
    </row>
    <row r="415">
      <c r="A415" s="203"/>
      <c r="B415" s="203"/>
      <c r="C415" s="204"/>
      <c r="D415" s="205"/>
      <c r="E415" s="206"/>
      <c r="F415" s="207"/>
      <c r="G415" s="208"/>
      <c r="H415" s="209"/>
      <c r="I415" s="210"/>
      <c r="J415" s="205"/>
    </row>
    <row r="416">
      <c r="A416" s="203"/>
      <c r="B416" s="203"/>
      <c r="C416" s="204"/>
      <c r="D416" s="205"/>
      <c r="E416" s="206"/>
      <c r="F416" s="207"/>
      <c r="G416" s="208"/>
      <c r="H416" s="209"/>
      <c r="I416" s="210"/>
      <c r="J416" s="205"/>
    </row>
    <row r="417">
      <c r="A417" s="203"/>
      <c r="B417" s="203"/>
      <c r="C417" s="204"/>
      <c r="D417" s="205"/>
      <c r="E417" s="206"/>
      <c r="F417" s="207"/>
      <c r="G417" s="208"/>
      <c r="H417" s="209"/>
      <c r="I417" s="210"/>
      <c r="J417" s="205"/>
    </row>
    <row r="418">
      <c r="A418" s="203"/>
      <c r="B418" s="203"/>
      <c r="C418" s="204"/>
      <c r="D418" s="205"/>
      <c r="E418" s="206"/>
      <c r="F418" s="207"/>
      <c r="G418" s="208"/>
      <c r="H418" s="209"/>
      <c r="I418" s="210"/>
      <c r="J418" s="205"/>
    </row>
    <row r="419">
      <c r="A419" s="203"/>
      <c r="B419" s="203"/>
      <c r="C419" s="204"/>
      <c r="D419" s="205"/>
      <c r="E419" s="206"/>
      <c r="F419" s="207"/>
      <c r="G419" s="208"/>
      <c r="H419" s="209"/>
      <c r="I419" s="210"/>
      <c r="J419" s="205"/>
    </row>
    <row r="420">
      <c r="A420" s="203"/>
      <c r="B420" s="203"/>
      <c r="C420" s="204"/>
      <c r="D420" s="205"/>
      <c r="E420" s="206"/>
      <c r="F420" s="207"/>
      <c r="G420" s="208"/>
      <c r="H420" s="209"/>
      <c r="I420" s="210"/>
      <c r="J420" s="205"/>
    </row>
    <row r="421">
      <c r="A421" s="203"/>
      <c r="B421" s="203"/>
      <c r="C421" s="204"/>
      <c r="D421" s="205"/>
      <c r="E421" s="206"/>
      <c r="F421" s="207"/>
      <c r="G421" s="208"/>
      <c r="H421" s="209"/>
      <c r="I421" s="210"/>
      <c r="J421" s="205"/>
    </row>
    <row r="422">
      <c r="A422" s="203"/>
      <c r="B422" s="203"/>
      <c r="C422" s="204"/>
      <c r="D422" s="205"/>
      <c r="E422" s="206"/>
      <c r="F422" s="207"/>
      <c r="G422" s="208"/>
      <c r="H422" s="209"/>
      <c r="I422" s="210"/>
      <c r="J422" s="205"/>
    </row>
    <row r="423">
      <c r="A423" s="203"/>
      <c r="B423" s="203"/>
      <c r="C423" s="204"/>
      <c r="D423" s="205"/>
      <c r="E423" s="206"/>
      <c r="F423" s="207"/>
      <c r="G423" s="208"/>
      <c r="H423" s="209"/>
      <c r="I423" s="210"/>
      <c r="J423" s="205"/>
    </row>
    <row r="424">
      <c r="A424" s="203"/>
      <c r="B424" s="203"/>
      <c r="C424" s="204"/>
      <c r="D424" s="205"/>
      <c r="E424" s="206"/>
      <c r="F424" s="207"/>
      <c r="G424" s="208"/>
      <c r="H424" s="209"/>
      <c r="I424" s="210"/>
      <c r="J424" s="205"/>
    </row>
    <row r="425">
      <c r="A425" s="203"/>
      <c r="B425" s="203"/>
      <c r="C425" s="204"/>
      <c r="D425" s="205"/>
      <c r="E425" s="206"/>
      <c r="F425" s="207"/>
      <c r="G425" s="208"/>
      <c r="H425" s="209"/>
      <c r="I425" s="210"/>
      <c r="J425" s="205"/>
    </row>
    <row r="426">
      <c r="A426" s="203"/>
      <c r="B426" s="203"/>
      <c r="C426" s="204"/>
      <c r="D426" s="205"/>
      <c r="E426" s="206"/>
      <c r="F426" s="207"/>
      <c r="G426" s="208"/>
      <c r="H426" s="209"/>
      <c r="I426" s="210"/>
      <c r="J426" s="205"/>
    </row>
    <row r="427">
      <c r="A427" s="203"/>
      <c r="B427" s="203"/>
      <c r="C427" s="204"/>
      <c r="D427" s="205"/>
      <c r="E427" s="206"/>
      <c r="F427" s="207"/>
      <c r="G427" s="208"/>
      <c r="H427" s="209"/>
      <c r="I427" s="210"/>
      <c r="J427" s="205"/>
    </row>
    <row r="428">
      <c r="A428" s="203"/>
      <c r="B428" s="203"/>
      <c r="C428" s="204"/>
      <c r="D428" s="205"/>
      <c r="E428" s="206"/>
      <c r="F428" s="207"/>
      <c r="G428" s="208"/>
      <c r="H428" s="209"/>
      <c r="I428" s="210"/>
      <c r="J428" s="205"/>
    </row>
    <row r="429">
      <c r="A429" s="203"/>
      <c r="B429" s="203"/>
      <c r="C429" s="204"/>
      <c r="D429" s="205"/>
      <c r="E429" s="206"/>
      <c r="F429" s="207"/>
      <c r="G429" s="208"/>
      <c r="H429" s="209"/>
      <c r="I429" s="210"/>
      <c r="J429" s="205"/>
    </row>
    <row r="430">
      <c r="A430" s="203"/>
      <c r="B430" s="203"/>
      <c r="C430" s="204"/>
      <c r="D430" s="205"/>
      <c r="E430" s="206"/>
      <c r="F430" s="207"/>
      <c r="G430" s="208"/>
      <c r="H430" s="209"/>
      <c r="I430" s="210"/>
      <c r="J430" s="205"/>
    </row>
    <row r="431">
      <c r="A431" s="203"/>
      <c r="B431" s="203"/>
      <c r="C431" s="204"/>
      <c r="D431" s="205"/>
      <c r="E431" s="206"/>
      <c r="F431" s="207"/>
      <c r="G431" s="208"/>
      <c r="H431" s="209"/>
      <c r="I431" s="210"/>
      <c r="J431" s="205"/>
    </row>
    <row r="432">
      <c r="A432" s="203"/>
      <c r="B432" s="203"/>
      <c r="C432" s="204"/>
      <c r="D432" s="205"/>
      <c r="E432" s="206"/>
      <c r="F432" s="207"/>
      <c r="G432" s="208"/>
      <c r="H432" s="209"/>
      <c r="I432" s="210"/>
      <c r="J432" s="205"/>
    </row>
    <row r="433">
      <c r="A433" s="203"/>
      <c r="B433" s="203"/>
      <c r="C433" s="204"/>
      <c r="D433" s="205"/>
      <c r="E433" s="206"/>
      <c r="F433" s="207"/>
      <c r="G433" s="208"/>
      <c r="H433" s="209"/>
      <c r="I433" s="210"/>
      <c r="J433" s="205"/>
    </row>
    <row r="434">
      <c r="A434" s="203"/>
      <c r="B434" s="203"/>
      <c r="C434" s="204"/>
      <c r="D434" s="205"/>
      <c r="E434" s="206"/>
      <c r="F434" s="207"/>
      <c r="G434" s="208"/>
      <c r="H434" s="209"/>
      <c r="I434" s="210"/>
      <c r="J434" s="205"/>
    </row>
    <row r="435">
      <c r="A435" s="203"/>
      <c r="B435" s="203"/>
      <c r="C435" s="204"/>
      <c r="D435" s="205"/>
      <c r="E435" s="206"/>
      <c r="F435" s="207"/>
      <c r="G435" s="208"/>
      <c r="H435" s="209"/>
      <c r="I435" s="210"/>
      <c r="J435" s="205"/>
    </row>
    <row r="436">
      <c r="A436" s="203"/>
      <c r="B436" s="203"/>
      <c r="C436" s="204"/>
      <c r="D436" s="205"/>
      <c r="E436" s="206"/>
      <c r="F436" s="207"/>
      <c r="G436" s="208"/>
      <c r="H436" s="209"/>
      <c r="I436" s="210"/>
      <c r="J436" s="205"/>
    </row>
    <row r="437">
      <c r="A437" s="203"/>
      <c r="B437" s="203"/>
      <c r="C437" s="204"/>
      <c r="D437" s="205"/>
      <c r="E437" s="206"/>
      <c r="F437" s="207"/>
      <c r="G437" s="208"/>
      <c r="H437" s="209"/>
      <c r="I437" s="210"/>
      <c r="J437" s="205"/>
    </row>
    <row r="438">
      <c r="A438" s="203"/>
      <c r="B438" s="203"/>
      <c r="C438" s="204"/>
      <c r="D438" s="205"/>
      <c r="E438" s="206"/>
      <c r="F438" s="207"/>
      <c r="G438" s="208"/>
      <c r="H438" s="209"/>
      <c r="I438" s="210"/>
      <c r="J438" s="205"/>
    </row>
    <row r="439">
      <c r="A439" s="203"/>
      <c r="B439" s="203"/>
      <c r="C439" s="204"/>
      <c r="D439" s="205"/>
      <c r="E439" s="206"/>
      <c r="F439" s="207"/>
      <c r="G439" s="208"/>
      <c r="H439" s="209"/>
      <c r="I439" s="210"/>
      <c r="J439" s="205"/>
    </row>
    <row r="440">
      <c r="A440" s="203"/>
      <c r="B440" s="203"/>
      <c r="C440" s="204"/>
      <c r="D440" s="205"/>
      <c r="E440" s="206"/>
      <c r="F440" s="207"/>
      <c r="G440" s="208"/>
      <c r="H440" s="209"/>
      <c r="I440" s="210"/>
      <c r="J440" s="205"/>
    </row>
    <row r="441">
      <c r="A441" s="203"/>
      <c r="B441" s="203"/>
      <c r="C441" s="204"/>
      <c r="D441" s="205"/>
      <c r="E441" s="206"/>
      <c r="F441" s="207"/>
      <c r="G441" s="208"/>
      <c r="H441" s="209"/>
      <c r="I441" s="210"/>
      <c r="J441" s="205"/>
    </row>
    <row r="442">
      <c r="A442" s="203"/>
      <c r="B442" s="203"/>
      <c r="C442" s="204"/>
      <c r="D442" s="205"/>
      <c r="E442" s="206"/>
      <c r="F442" s="207"/>
      <c r="G442" s="208"/>
      <c r="H442" s="209"/>
      <c r="I442" s="210"/>
      <c r="J442" s="205"/>
    </row>
    <row r="443">
      <c r="A443" s="203"/>
      <c r="B443" s="203"/>
      <c r="C443" s="204"/>
      <c r="D443" s="205"/>
      <c r="E443" s="206"/>
      <c r="F443" s="207"/>
      <c r="G443" s="208"/>
      <c r="H443" s="209"/>
      <c r="I443" s="210"/>
      <c r="J443" s="205"/>
    </row>
    <row r="444">
      <c r="A444" s="203"/>
      <c r="B444" s="203"/>
      <c r="C444" s="204"/>
      <c r="D444" s="205"/>
      <c r="E444" s="206"/>
      <c r="F444" s="207"/>
      <c r="G444" s="208"/>
      <c r="H444" s="209"/>
      <c r="I444" s="210"/>
      <c r="J444" s="205"/>
    </row>
    <row r="445">
      <c r="A445" s="203"/>
      <c r="B445" s="203"/>
      <c r="C445" s="204"/>
      <c r="D445" s="205"/>
      <c r="E445" s="206"/>
      <c r="F445" s="207"/>
      <c r="G445" s="208"/>
      <c r="H445" s="209"/>
      <c r="I445" s="210"/>
      <c r="J445" s="205"/>
    </row>
    <row r="446">
      <c r="A446" s="203"/>
      <c r="B446" s="203"/>
      <c r="C446" s="204"/>
      <c r="D446" s="205"/>
      <c r="E446" s="206"/>
      <c r="F446" s="207"/>
      <c r="G446" s="208"/>
      <c r="H446" s="209"/>
      <c r="I446" s="210"/>
      <c r="J446" s="205"/>
    </row>
    <row r="447">
      <c r="A447" s="203"/>
      <c r="B447" s="203"/>
      <c r="C447" s="204"/>
      <c r="D447" s="205"/>
      <c r="E447" s="206"/>
      <c r="F447" s="207"/>
      <c r="G447" s="208"/>
      <c r="H447" s="209"/>
      <c r="I447" s="210"/>
      <c r="J447" s="205"/>
    </row>
    <row r="448">
      <c r="A448" s="203"/>
      <c r="B448" s="203"/>
      <c r="C448" s="204"/>
      <c r="D448" s="205"/>
      <c r="E448" s="206"/>
      <c r="F448" s="207"/>
      <c r="G448" s="208"/>
      <c r="H448" s="209"/>
      <c r="I448" s="210"/>
      <c r="J448" s="205"/>
    </row>
    <row r="449">
      <c r="A449" s="203"/>
      <c r="B449" s="203"/>
      <c r="C449" s="204"/>
      <c r="D449" s="205"/>
      <c r="E449" s="206"/>
      <c r="F449" s="207"/>
      <c r="G449" s="208"/>
      <c r="H449" s="209"/>
      <c r="I449" s="210"/>
      <c r="J449" s="205"/>
    </row>
    <row r="450">
      <c r="A450" s="203"/>
      <c r="B450" s="203"/>
      <c r="C450" s="204"/>
      <c r="D450" s="205"/>
      <c r="E450" s="206"/>
      <c r="F450" s="207"/>
      <c r="G450" s="208"/>
      <c r="H450" s="209"/>
      <c r="I450" s="210"/>
      <c r="J450" s="205"/>
    </row>
    <row r="451">
      <c r="A451" s="203"/>
      <c r="B451" s="203"/>
      <c r="C451" s="204"/>
      <c r="D451" s="205"/>
      <c r="E451" s="206"/>
      <c r="F451" s="207"/>
      <c r="G451" s="208"/>
      <c r="H451" s="209"/>
      <c r="I451" s="210"/>
      <c r="J451" s="205"/>
    </row>
    <row r="452">
      <c r="A452" s="203"/>
      <c r="B452" s="203"/>
      <c r="C452" s="204"/>
      <c r="D452" s="205"/>
      <c r="E452" s="206"/>
      <c r="F452" s="207"/>
      <c r="G452" s="208"/>
      <c r="H452" s="209"/>
      <c r="I452" s="210"/>
      <c r="J452" s="205"/>
    </row>
    <row r="453">
      <c r="A453" s="203"/>
      <c r="B453" s="203"/>
      <c r="C453" s="204"/>
      <c r="D453" s="205"/>
      <c r="E453" s="206"/>
      <c r="F453" s="207"/>
      <c r="G453" s="208"/>
      <c r="H453" s="209"/>
      <c r="I453" s="210"/>
      <c r="J453" s="205"/>
    </row>
    <row r="454">
      <c r="A454" s="203"/>
      <c r="B454" s="203"/>
      <c r="C454" s="204"/>
      <c r="D454" s="205"/>
      <c r="E454" s="206"/>
      <c r="F454" s="207"/>
      <c r="G454" s="208"/>
      <c r="H454" s="209"/>
      <c r="I454" s="210"/>
      <c r="J454" s="205"/>
    </row>
    <row r="455">
      <c r="A455" s="203"/>
      <c r="B455" s="203"/>
      <c r="C455" s="204"/>
      <c r="D455" s="205"/>
      <c r="E455" s="206"/>
      <c r="F455" s="207"/>
      <c r="G455" s="208"/>
      <c r="H455" s="209"/>
      <c r="I455" s="210"/>
      <c r="J455" s="205"/>
    </row>
    <row r="456">
      <c r="A456" s="203"/>
      <c r="B456" s="203"/>
      <c r="C456" s="204"/>
      <c r="D456" s="205"/>
      <c r="E456" s="206"/>
      <c r="F456" s="207"/>
      <c r="G456" s="208"/>
      <c r="H456" s="209"/>
      <c r="I456" s="210"/>
      <c r="J456" s="205"/>
    </row>
    <row r="457">
      <c r="A457" s="203"/>
      <c r="B457" s="203"/>
      <c r="C457" s="204"/>
      <c r="D457" s="205"/>
      <c r="E457" s="206"/>
      <c r="F457" s="207"/>
      <c r="G457" s="208"/>
      <c r="H457" s="209"/>
      <c r="I457" s="210"/>
      <c r="J457" s="205"/>
    </row>
    <row r="458">
      <c r="A458" s="203"/>
      <c r="B458" s="203"/>
      <c r="C458" s="204"/>
      <c r="D458" s="205"/>
      <c r="E458" s="206"/>
      <c r="F458" s="207"/>
      <c r="G458" s="208"/>
      <c r="H458" s="209"/>
      <c r="I458" s="210"/>
      <c r="J458" s="205"/>
    </row>
    <row r="459">
      <c r="A459" s="203"/>
      <c r="B459" s="203"/>
      <c r="C459" s="204"/>
      <c r="D459" s="205"/>
      <c r="E459" s="206"/>
      <c r="F459" s="207"/>
      <c r="G459" s="208"/>
      <c r="H459" s="209"/>
      <c r="I459" s="210"/>
      <c r="J459" s="205"/>
    </row>
    <row r="460">
      <c r="A460" s="203"/>
      <c r="B460" s="203"/>
      <c r="C460" s="204"/>
      <c r="D460" s="205"/>
      <c r="E460" s="206"/>
      <c r="F460" s="207"/>
      <c r="G460" s="208"/>
      <c r="H460" s="209"/>
      <c r="I460" s="210"/>
      <c r="J460" s="205"/>
    </row>
    <row r="461">
      <c r="A461" s="203"/>
      <c r="B461" s="203"/>
      <c r="C461" s="204"/>
      <c r="D461" s="205"/>
      <c r="E461" s="206"/>
      <c r="F461" s="207"/>
      <c r="G461" s="208"/>
      <c r="H461" s="209"/>
      <c r="I461" s="210"/>
      <c r="J461" s="205"/>
    </row>
    <row r="462">
      <c r="A462" s="203"/>
      <c r="B462" s="203"/>
      <c r="C462" s="204"/>
      <c r="D462" s="205"/>
      <c r="E462" s="206"/>
      <c r="F462" s="207"/>
      <c r="G462" s="208"/>
      <c r="H462" s="209"/>
      <c r="I462" s="210"/>
      <c r="J462" s="205"/>
    </row>
    <row r="463">
      <c r="A463" s="203"/>
      <c r="B463" s="203"/>
      <c r="C463" s="204"/>
      <c r="D463" s="205"/>
      <c r="E463" s="206"/>
      <c r="F463" s="207"/>
      <c r="G463" s="208"/>
      <c r="H463" s="209"/>
      <c r="I463" s="210"/>
      <c r="J463" s="205"/>
    </row>
    <row r="464">
      <c r="A464" s="203"/>
      <c r="B464" s="203"/>
      <c r="C464" s="204"/>
      <c r="D464" s="205"/>
      <c r="E464" s="206"/>
      <c r="F464" s="207"/>
      <c r="G464" s="208"/>
      <c r="H464" s="209"/>
      <c r="I464" s="210"/>
      <c r="J464" s="205"/>
    </row>
    <row r="465">
      <c r="A465" s="203"/>
      <c r="B465" s="203"/>
      <c r="C465" s="204"/>
      <c r="D465" s="205"/>
      <c r="E465" s="206"/>
      <c r="F465" s="207"/>
      <c r="G465" s="208"/>
      <c r="H465" s="209"/>
      <c r="I465" s="210"/>
      <c r="J465" s="205"/>
    </row>
    <row r="466">
      <c r="A466" s="203"/>
      <c r="B466" s="203"/>
      <c r="C466" s="204"/>
      <c r="D466" s="205"/>
      <c r="E466" s="206"/>
      <c r="F466" s="207"/>
      <c r="G466" s="208"/>
      <c r="H466" s="209"/>
      <c r="I466" s="210"/>
      <c r="J466" s="205"/>
    </row>
    <row r="467">
      <c r="A467" s="203"/>
      <c r="B467" s="203"/>
      <c r="C467" s="204"/>
      <c r="D467" s="205"/>
      <c r="E467" s="206"/>
      <c r="F467" s="207"/>
      <c r="G467" s="208"/>
      <c r="H467" s="209"/>
      <c r="I467" s="210"/>
      <c r="J467" s="205"/>
    </row>
    <row r="468">
      <c r="A468" s="203"/>
      <c r="B468" s="203"/>
      <c r="C468" s="204"/>
      <c r="D468" s="205"/>
      <c r="E468" s="206"/>
      <c r="F468" s="207"/>
      <c r="G468" s="208"/>
      <c r="H468" s="209"/>
      <c r="I468" s="210"/>
      <c r="J468" s="205"/>
    </row>
    <row r="469">
      <c r="A469" s="203"/>
      <c r="B469" s="203"/>
      <c r="C469" s="204"/>
      <c r="D469" s="205"/>
      <c r="E469" s="206"/>
      <c r="F469" s="207"/>
      <c r="G469" s="208"/>
      <c r="H469" s="209"/>
      <c r="I469" s="210"/>
      <c r="J469" s="205"/>
    </row>
    <row r="470">
      <c r="A470" s="203"/>
      <c r="B470" s="203"/>
      <c r="C470" s="204"/>
      <c r="D470" s="205"/>
      <c r="E470" s="206"/>
      <c r="F470" s="207"/>
      <c r="G470" s="208"/>
      <c r="H470" s="209"/>
      <c r="I470" s="210"/>
      <c r="J470" s="205"/>
    </row>
    <row r="471">
      <c r="A471" s="203"/>
      <c r="B471" s="203"/>
      <c r="C471" s="204"/>
      <c r="D471" s="205"/>
      <c r="E471" s="206"/>
      <c r="F471" s="207"/>
      <c r="G471" s="208"/>
      <c r="H471" s="209"/>
      <c r="I471" s="210"/>
      <c r="J471" s="205"/>
    </row>
    <row r="472">
      <c r="A472" s="203"/>
      <c r="B472" s="203"/>
      <c r="C472" s="204"/>
      <c r="D472" s="205"/>
      <c r="E472" s="206"/>
      <c r="F472" s="207"/>
      <c r="G472" s="208"/>
      <c r="H472" s="209"/>
      <c r="I472" s="210"/>
      <c r="J472" s="205"/>
    </row>
    <row r="473">
      <c r="A473" s="203"/>
      <c r="B473" s="203"/>
      <c r="C473" s="204"/>
      <c r="D473" s="205"/>
      <c r="E473" s="206"/>
      <c r="F473" s="207"/>
      <c r="G473" s="208"/>
      <c r="H473" s="209"/>
      <c r="I473" s="210"/>
      <c r="J473" s="205"/>
    </row>
    <row r="474">
      <c r="A474" s="203"/>
      <c r="B474" s="203"/>
      <c r="C474" s="204"/>
      <c r="D474" s="205"/>
      <c r="E474" s="206"/>
      <c r="F474" s="207"/>
      <c r="G474" s="208"/>
      <c r="H474" s="209"/>
      <c r="I474" s="210"/>
      <c r="J474" s="205"/>
    </row>
    <row r="475">
      <c r="A475" s="203"/>
      <c r="B475" s="203"/>
      <c r="C475" s="204"/>
      <c r="D475" s="205"/>
      <c r="E475" s="206"/>
      <c r="F475" s="207"/>
      <c r="G475" s="208"/>
      <c r="H475" s="209"/>
      <c r="I475" s="210"/>
      <c r="J475" s="205"/>
    </row>
    <row r="476">
      <c r="A476" s="203"/>
      <c r="B476" s="203"/>
      <c r="C476" s="204"/>
      <c r="D476" s="205"/>
      <c r="E476" s="206"/>
      <c r="F476" s="207"/>
      <c r="G476" s="208"/>
      <c r="H476" s="209"/>
      <c r="I476" s="210"/>
      <c r="J476" s="205"/>
    </row>
    <row r="477">
      <c r="A477" s="203"/>
      <c r="B477" s="203"/>
      <c r="C477" s="204"/>
      <c r="D477" s="205"/>
      <c r="E477" s="206"/>
      <c r="F477" s="207"/>
      <c r="G477" s="208"/>
      <c r="H477" s="209"/>
      <c r="I477" s="210"/>
      <c r="J477" s="205"/>
    </row>
    <row r="478">
      <c r="A478" s="203"/>
      <c r="B478" s="203"/>
      <c r="C478" s="204"/>
      <c r="D478" s="205"/>
      <c r="E478" s="206"/>
      <c r="F478" s="207"/>
      <c r="G478" s="208"/>
      <c r="H478" s="209"/>
      <c r="I478" s="210"/>
      <c r="J478" s="205"/>
    </row>
    <row r="479">
      <c r="A479" s="203"/>
      <c r="B479" s="203"/>
      <c r="C479" s="204"/>
      <c r="D479" s="205"/>
      <c r="E479" s="206"/>
      <c r="F479" s="207"/>
      <c r="G479" s="208"/>
      <c r="H479" s="209"/>
      <c r="I479" s="210"/>
      <c r="J479" s="205"/>
    </row>
    <row r="480">
      <c r="A480" s="203"/>
      <c r="B480" s="203"/>
      <c r="C480" s="204"/>
      <c r="D480" s="205"/>
      <c r="E480" s="206"/>
      <c r="F480" s="207"/>
      <c r="G480" s="208"/>
      <c r="H480" s="209"/>
      <c r="I480" s="210"/>
      <c r="J480" s="205"/>
    </row>
    <row r="481">
      <c r="A481" s="203"/>
      <c r="B481" s="203"/>
      <c r="C481" s="204"/>
      <c r="D481" s="205"/>
      <c r="E481" s="206"/>
      <c r="F481" s="207"/>
      <c r="G481" s="208"/>
      <c r="H481" s="209"/>
      <c r="I481" s="210"/>
      <c r="J481" s="205"/>
    </row>
    <row r="482">
      <c r="A482" s="203"/>
      <c r="B482" s="203"/>
      <c r="C482" s="204"/>
      <c r="D482" s="205"/>
      <c r="E482" s="206"/>
      <c r="F482" s="207"/>
      <c r="G482" s="208"/>
      <c r="H482" s="209"/>
      <c r="I482" s="210"/>
      <c r="J482" s="205"/>
    </row>
    <row r="483">
      <c r="A483" s="203"/>
      <c r="B483" s="203"/>
      <c r="C483" s="204"/>
      <c r="D483" s="205"/>
      <c r="E483" s="206"/>
      <c r="F483" s="207"/>
      <c r="G483" s="208"/>
      <c r="H483" s="209"/>
      <c r="I483" s="210"/>
      <c r="J483" s="205"/>
    </row>
    <row r="484">
      <c r="A484" s="203"/>
      <c r="B484" s="203"/>
      <c r="C484" s="204"/>
      <c r="D484" s="205"/>
      <c r="E484" s="206"/>
      <c r="F484" s="207"/>
      <c r="G484" s="208"/>
      <c r="H484" s="209"/>
      <c r="I484" s="210"/>
      <c r="J484" s="205"/>
    </row>
    <row r="485">
      <c r="A485" s="203"/>
      <c r="B485" s="203"/>
      <c r="C485" s="204"/>
      <c r="D485" s="205"/>
      <c r="E485" s="206"/>
      <c r="F485" s="207"/>
      <c r="G485" s="208"/>
      <c r="H485" s="209"/>
      <c r="I485" s="210"/>
      <c r="J485" s="205"/>
    </row>
    <row r="486">
      <c r="A486" s="203"/>
      <c r="B486" s="203"/>
      <c r="C486" s="204"/>
      <c r="D486" s="205"/>
      <c r="E486" s="206"/>
      <c r="F486" s="207"/>
      <c r="G486" s="208"/>
      <c r="H486" s="209"/>
      <c r="I486" s="210"/>
      <c r="J486" s="205"/>
    </row>
    <row r="487">
      <c r="A487" s="203"/>
      <c r="B487" s="203"/>
      <c r="C487" s="204"/>
      <c r="D487" s="205"/>
      <c r="E487" s="206"/>
      <c r="F487" s="207"/>
      <c r="G487" s="208"/>
      <c r="H487" s="209"/>
      <c r="I487" s="210"/>
      <c r="J487" s="205"/>
    </row>
    <row r="488">
      <c r="A488" s="203"/>
      <c r="B488" s="203"/>
      <c r="C488" s="204"/>
      <c r="D488" s="205"/>
      <c r="E488" s="206"/>
      <c r="F488" s="207"/>
      <c r="G488" s="208"/>
      <c r="H488" s="209"/>
      <c r="I488" s="210"/>
      <c r="J488" s="205"/>
    </row>
    <row r="489">
      <c r="A489" s="203"/>
      <c r="B489" s="203"/>
      <c r="C489" s="204"/>
      <c r="D489" s="205"/>
      <c r="E489" s="206"/>
      <c r="F489" s="207"/>
      <c r="G489" s="208"/>
      <c r="H489" s="209"/>
      <c r="I489" s="210"/>
      <c r="J489" s="205"/>
    </row>
    <row r="490">
      <c r="A490" s="203"/>
      <c r="B490" s="203"/>
      <c r="C490" s="204"/>
      <c r="D490" s="205"/>
      <c r="E490" s="206"/>
      <c r="F490" s="207"/>
      <c r="G490" s="208"/>
      <c r="H490" s="209"/>
      <c r="I490" s="210"/>
      <c r="J490" s="205"/>
    </row>
    <row r="491">
      <c r="A491" s="203"/>
      <c r="B491" s="203"/>
      <c r="C491" s="204"/>
      <c r="D491" s="205"/>
      <c r="E491" s="206"/>
      <c r="F491" s="207"/>
      <c r="G491" s="208"/>
      <c r="H491" s="209"/>
      <c r="I491" s="210"/>
      <c r="J491" s="205"/>
    </row>
    <row r="492">
      <c r="A492" s="203"/>
      <c r="B492" s="203"/>
      <c r="C492" s="204"/>
      <c r="D492" s="205"/>
      <c r="E492" s="206"/>
      <c r="F492" s="207"/>
      <c r="G492" s="208"/>
      <c r="H492" s="209"/>
      <c r="I492" s="210"/>
      <c r="J492" s="205"/>
    </row>
    <row r="493">
      <c r="A493" s="203"/>
      <c r="B493" s="203"/>
      <c r="C493" s="204"/>
      <c r="D493" s="205"/>
      <c r="E493" s="206"/>
      <c r="F493" s="207"/>
      <c r="G493" s="208"/>
      <c r="H493" s="209"/>
      <c r="I493" s="210"/>
      <c r="J493" s="205"/>
    </row>
    <row r="494">
      <c r="A494" s="203"/>
      <c r="B494" s="203"/>
      <c r="C494" s="204"/>
      <c r="D494" s="205"/>
      <c r="E494" s="206"/>
      <c r="F494" s="207"/>
      <c r="G494" s="208"/>
      <c r="H494" s="209"/>
      <c r="I494" s="210"/>
      <c r="J494" s="205"/>
    </row>
    <row r="495">
      <c r="A495" s="203"/>
      <c r="B495" s="203"/>
      <c r="C495" s="204"/>
      <c r="D495" s="205"/>
      <c r="E495" s="206"/>
      <c r="F495" s="207"/>
      <c r="G495" s="208"/>
      <c r="H495" s="209"/>
      <c r="I495" s="210"/>
      <c r="J495" s="205"/>
    </row>
    <row r="496">
      <c r="A496" s="203"/>
      <c r="B496" s="203"/>
      <c r="C496" s="204"/>
      <c r="D496" s="205"/>
      <c r="E496" s="206"/>
      <c r="F496" s="207"/>
      <c r="G496" s="208"/>
      <c r="H496" s="209"/>
      <c r="I496" s="210"/>
      <c r="J496" s="205"/>
    </row>
    <row r="497">
      <c r="A497" s="203"/>
      <c r="B497" s="203"/>
      <c r="C497" s="204"/>
      <c r="D497" s="205"/>
      <c r="E497" s="206"/>
      <c r="F497" s="207"/>
      <c r="G497" s="208"/>
      <c r="H497" s="209"/>
      <c r="I497" s="210"/>
      <c r="J497" s="205"/>
    </row>
    <row r="498">
      <c r="A498" s="203"/>
      <c r="B498" s="203"/>
      <c r="C498" s="204"/>
      <c r="D498" s="205"/>
      <c r="E498" s="206"/>
      <c r="F498" s="207"/>
      <c r="G498" s="208"/>
      <c r="H498" s="209"/>
      <c r="I498" s="210"/>
      <c r="J498" s="205"/>
    </row>
    <row r="499">
      <c r="A499" s="203"/>
      <c r="B499" s="203"/>
      <c r="C499" s="204"/>
      <c r="D499" s="205"/>
      <c r="E499" s="206"/>
      <c r="F499" s="207"/>
      <c r="G499" s="208"/>
      <c r="H499" s="209"/>
      <c r="I499" s="210"/>
      <c r="J499" s="205"/>
    </row>
    <row r="500">
      <c r="A500" s="203"/>
      <c r="B500" s="203"/>
      <c r="C500" s="204"/>
      <c r="D500" s="205"/>
      <c r="E500" s="206"/>
      <c r="F500" s="207"/>
      <c r="G500" s="208"/>
      <c r="H500" s="209"/>
      <c r="I500" s="210"/>
      <c r="J500" s="205"/>
    </row>
    <row r="501">
      <c r="A501" s="203"/>
      <c r="B501" s="203"/>
      <c r="C501" s="204"/>
      <c r="D501" s="205"/>
      <c r="E501" s="206"/>
      <c r="F501" s="207"/>
      <c r="G501" s="208"/>
      <c r="H501" s="209"/>
      <c r="I501" s="210"/>
      <c r="J501" s="205"/>
    </row>
    <row r="502">
      <c r="A502" s="203"/>
      <c r="B502" s="203"/>
      <c r="C502" s="204"/>
      <c r="D502" s="205"/>
      <c r="E502" s="206"/>
      <c r="F502" s="207"/>
      <c r="G502" s="208"/>
      <c r="H502" s="209"/>
      <c r="I502" s="210"/>
      <c r="J502" s="205"/>
    </row>
    <row r="503">
      <c r="A503" s="203"/>
      <c r="B503" s="203"/>
      <c r="C503" s="204"/>
      <c r="D503" s="205"/>
      <c r="E503" s="206"/>
      <c r="F503" s="207"/>
      <c r="G503" s="208"/>
      <c r="H503" s="209"/>
      <c r="I503" s="210"/>
      <c r="J503" s="205"/>
    </row>
    <row r="504">
      <c r="A504" s="203"/>
      <c r="B504" s="203"/>
      <c r="C504" s="204"/>
      <c r="D504" s="205"/>
      <c r="E504" s="206"/>
      <c r="F504" s="207"/>
      <c r="G504" s="208"/>
      <c r="H504" s="209"/>
      <c r="I504" s="210"/>
      <c r="J504" s="205"/>
    </row>
    <row r="505">
      <c r="A505" s="203"/>
      <c r="B505" s="203"/>
      <c r="C505" s="204"/>
      <c r="D505" s="205"/>
      <c r="E505" s="206"/>
      <c r="F505" s="207"/>
      <c r="G505" s="208"/>
      <c r="H505" s="209"/>
      <c r="I505" s="210"/>
      <c r="J505" s="205"/>
    </row>
    <row r="506">
      <c r="A506" s="203"/>
      <c r="B506" s="203"/>
      <c r="C506" s="204"/>
      <c r="D506" s="205"/>
      <c r="E506" s="206"/>
      <c r="F506" s="207"/>
      <c r="G506" s="208"/>
      <c r="H506" s="209"/>
      <c r="I506" s="210"/>
      <c r="J506" s="205"/>
    </row>
    <row r="507">
      <c r="A507" s="203"/>
      <c r="B507" s="203"/>
      <c r="C507" s="204"/>
      <c r="D507" s="205"/>
      <c r="E507" s="206"/>
      <c r="F507" s="207"/>
      <c r="G507" s="208"/>
      <c r="H507" s="209"/>
      <c r="I507" s="210"/>
      <c r="J507" s="205"/>
    </row>
    <row r="508">
      <c r="A508" s="203"/>
      <c r="B508" s="203"/>
      <c r="C508" s="204"/>
      <c r="D508" s="205"/>
      <c r="E508" s="206"/>
      <c r="F508" s="207"/>
      <c r="G508" s="208"/>
      <c r="H508" s="209"/>
      <c r="I508" s="210"/>
      <c r="J508" s="205"/>
    </row>
    <row r="509">
      <c r="A509" s="203"/>
      <c r="B509" s="203"/>
      <c r="C509" s="204"/>
      <c r="D509" s="205"/>
      <c r="E509" s="206"/>
      <c r="F509" s="207"/>
      <c r="G509" s="208"/>
      <c r="H509" s="209"/>
      <c r="I509" s="210"/>
      <c r="J509" s="205"/>
    </row>
    <row r="510">
      <c r="A510" s="203"/>
      <c r="B510" s="203"/>
      <c r="C510" s="204"/>
      <c r="D510" s="205"/>
      <c r="E510" s="206"/>
      <c r="F510" s="207"/>
      <c r="G510" s="208"/>
      <c r="H510" s="209"/>
      <c r="I510" s="210"/>
      <c r="J510" s="205"/>
    </row>
    <row r="511">
      <c r="A511" s="203"/>
      <c r="B511" s="203"/>
      <c r="C511" s="204"/>
      <c r="D511" s="205"/>
      <c r="E511" s="206"/>
      <c r="F511" s="207"/>
      <c r="G511" s="208"/>
      <c r="H511" s="209"/>
      <c r="I511" s="210"/>
      <c r="J511" s="205"/>
    </row>
    <row r="512">
      <c r="A512" s="203"/>
      <c r="B512" s="203"/>
      <c r="C512" s="204"/>
      <c r="D512" s="205"/>
      <c r="E512" s="206"/>
      <c r="F512" s="207"/>
      <c r="G512" s="208"/>
      <c r="H512" s="209"/>
      <c r="I512" s="210"/>
      <c r="J512" s="205"/>
    </row>
    <row r="513">
      <c r="A513" s="203"/>
      <c r="B513" s="203"/>
      <c r="C513" s="204"/>
      <c r="D513" s="205"/>
      <c r="E513" s="206"/>
      <c r="F513" s="207"/>
      <c r="G513" s="208"/>
      <c r="H513" s="209"/>
      <c r="I513" s="210"/>
      <c r="J513" s="205"/>
    </row>
    <row r="514">
      <c r="A514" s="203"/>
      <c r="B514" s="203"/>
      <c r="C514" s="204"/>
      <c r="D514" s="205"/>
      <c r="E514" s="206"/>
      <c r="F514" s="207"/>
      <c r="G514" s="208"/>
      <c r="H514" s="209"/>
      <c r="I514" s="210"/>
      <c r="J514" s="205"/>
    </row>
    <row r="515">
      <c r="A515" s="203"/>
      <c r="B515" s="203"/>
      <c r="C515" s="204"/>
      <c r="D515" s="205"/>
      <c r="E515" s="206"/>
      <c r="F515" s="207"/>
      <c r="G515" s="208"/>
      <c r="H515" s="209"/>
      <c r="I515" s="210"/>
      <c r="J515" s="205"/>
    </row>
    <row r="516">
      <c r="A516" s="203"/>
      <c r="B516" s="203"/>
      <c r="C516" s="204"/>
      <c r="D516" s="205"/>
      <c r="E516" s="206"/>
      <c r="F516" s="207"/>
      <c r="G516" s="208"/>
      <c r="H516" s="209"/>
      <c r="I516" s="210"/>
      <c r="J516" s="205"/>
    </row>
    <row r="517">
      <c r="A517" s="203"/>
      <c r="B517" s="203"/>
      <c r="C517" s="204"/>
      <c r="D517" s="205"/>
      <c r="E517" s="206"/>
      <c r="F517" s="207"/>
      <c r="G517" s="208"/>
      <c r="H517" s="209"/>
      <c r="I517" s="210"/>
      <c r="J517" s="205"/>
    </row>
    <row r="518">
      <c r="A518" s="203"/>
      <c r="B518" s="203"/>
      <c r="C518" s="204"/>
      <c r="D518" s="205"/>
      <c r="E518" s="206"/>
      <c r="F518" s="207"/>
      <c r="G518" s="208"/>
      <c r="H518" s="209"/>
      <c r="I518" s="210"/>
      <c r="J518" s="205"/>
    </row>
    <row r="519">
      <c r="A519" s="203"/>
      <c r="B519" s="203"/>
      <c r="C519" s="204"/>
      <c r="D519" s="205"/>
      <c r="E519" s="206"/>
      <c r="F519" s="207"/>
      <c r="G519" s="208"/>
      <c r="H519" s="209"/>
      <c r="I519" s="210"/>
      <c r="J519" s="205"/>
    </row>
    <row r="520">
      <c r="A520" s="203"/>
      <c r="B520" s="203"/>
      <c r="C520" s="204"/>
      <c r="D520" s="205"/>
      <c r="E520" s="206"/>
      <c r="F520" s="207"/>
      <c r="G520" s="208"/>
      <c r="H520" s="209"/>
      <c r="I520" s="210"/>
      <c r="J520" s="205"/>
    </row>
    <row r="521">
      <c r="A521" s="203"/>
      <c r="B521" s="203"/>
      <c r="C521" s="204"/>
      <c r="D521" s="205"/>
      <c r="E521" s="206"/>
      <c r="F521" s="207"/>
      <c r="G521" s="208"/>
      <c r="H521" s="209"/>
      <c r="I521" s="210"/>
      <c r="J521" s="205"/>
    </row>
    <row r="522">
      <c r="A522" s="203"/>
      <c r="B522" s="203"/>
      <c r="C522" s="204"/>
      <c r="D522" s="205"/>
      <c r="E522" s="206"/>
      <c r="F522" s="207"/>
      <c r="G522" s="208"/>
      <c r="H522" s="209"/>
      <c r="I522" s="210"/>
      <c r="J522" s="205"/>
    </row>
    <row r="523">
      <c r="A523" s="203"/>
      <c r="B523" s="203"/>
      <c r="C523" s="204"/>
      <c r="D523" s="205"/>
      <c r="E523" s="206"/>
      <c r="F523" s="207"/>
      <c r="G523" s="208"/>
      <c r="H523" s="209"/>
      <c r="I523" s="210"/>
      <c r="J523" s="205"/>
    </row>
    <row r="524">
      <c r="A524" s="203"/>
      <c r="B524" s="203"/>
      <c r="C524" s="204"/>
      <c r="D524" s="205"/>
      <c r="E524" s="206"/>
      <c r="F524" s="207"/>
      <c r="G524" s="208"/>
      <c r="H524" s="209"/>
      <c r="I524" s="210"/>
      <c r="J524" s="205"/>
    </row>
    <row r="525">
      <c r="A525" s="203"/>
      <c r="B525" s="203"/>
      <c r="C525" s="204"/>
      <c r="D525" s="205"/>
      <c r="E525" s="206"/>
      <c r="F525" s="207"/>
      <c r="G525" s="208"/>
      <c r="H525" s="209"/>
      <c r="I525" s="210"/>
      <c r="J525" s="205"/>
    </row>
    <row r="526">
      <c r="A526" s="203"/>
      <c r="B526" s="203"/>
      <c r="C526" s="204"/>
      <c r="D526" s="205"/>
      <c r="E526" s="206"/>
      <c r="F526" s="207"/>
      <c r="G526" s="208"/>
      <c r="H526" s="209"/>
      <c r="I526" s="210"/>
      <c r="J526" s="205"/>
    </row>
    <row r="527">
      <c r="A527" s="203"/>
      <c r="B527" s="203"/>
      <c r="C527" s="204"/>
      <c r="D527" s="205"/>
      <c r="E527" s="206"/>
      <c r="F527" s="207"/>
      <c r="G527" s="208"/>
      <c r="H527" s="209"/>
      <c r="I527" s="210"/>
      <c r="J527" s="205"/>
    </row>
    <row r="528">
      <c r="A528" s="203"/>
      <c r="B528" s="203"/>
      <c r="C528" s="204"/>
      <c r="D528" s="205"/>
      <c r="E528" s="206"/>
      <c r="F528" s="207"/>
      <c r="G528" s="208"/>
      <c r="H528" s="209"/>
      <c r="I528" s="210"/>
      <c r="J528" s="205"/>
    </row>
    <row r="529">
      <c r="A529" s="203"/>
      <c r="B529" s="203"/>
      <c r="C529" s="204"/>
      <c r="D529" s="205"/>
      <c r="E529" s="206"/>
      <c r="F529" s="207"/>
      <c r="G529" s="208"/>
      <c r="H529" s="209"/>
      <c r="I529" s="210"/>
      <c r="J529" s="205"/>
    </row>
    <row r="530">
      <c r="A530" s="203"/>
      <c r="B530" s="203"/>
      <c r="C530" s="204"/>
      <c r="D530" s="205"/>
      <c r="E530" s="206"/>
      <c r="F530" s="207"/>
      <c r="G530" s="208"/>
      <c r="H530" s="209"/>
      <c r="I530" s="210"/>
      <c r="J530" s="205"/>
    </row>
    <row r="531">
      <c r="A531" s="203"/>
      <c r="B531" s="203"/>
      <c r="C531" s="204"/>
      <c r="D531" s="205"/>
      <c r="E531" s="206"/>
      <c r="F531" s="207"/>
      <c r="G531" s="208"/>
      <c r="H531" s="209"/>
      <c r="I531" s="210"/>
      <c r="J531" s="205"/>
    </row>
    <row r="532">
      <c r="A532" s="203"/>
      <c r="B532" s="203"/>
      <c r="C532" s="204"/>
      <c r="D532" s="205"/>
      <c r="E532" s="206"/>
      <c r="F532" s="207"/>
      <c r="G532" s="208"/>
      <c r="H532" s="209"/>
      <c r="I532" s="210"/>
      <c r="J532" s="205"/>
    </row>
    <row r="533">
      <c r="A533" s="203"/>
      <c r="B533" s="203"/>
      <c r="C533" s="204"/>
      <c r="D533" s="205"/>
      <c r="E533" s="206"/>
      <c r="F533" s="207"/>
      <c r="G533" s="208"/>
      <c r="H533" s="209"/>
      <c r="I533" s="210"/>
      <c r="J533" s="205"/>
    </row>
    <row r="534">
      <c r="A534" s="203"/>
      <c r="B534" s="203"/>
      <c r="C534" s="204"/>
      <c r="D534" s="205"/>
      <c r="E534" s="206"/>
      <c r="F534" s="207"/>
      <c r="G534" s="208"/>
      <c r="H534" s="209"/>
      <c r="I534" s="210"/>
      <c r="J534" s="205"/>
    </row>
    <row r="535">
      <c r="A535" s="203"/>
      <c r="B535" s="203"/>
      <c r="C535" s="204"/>
      <c r="D535" s="205"/>
      <c r="E535" s="206"/>
      <c r="F535" s="207"/>
      <c r="G535" s="208"/>
      <c r="H535" s="209"/>
      <c r="I535" s="210"/>
      <c r="J535" s="205"/>
    </row>
    <row r="536">
      <c r="A536" s="203"/>
      <c r="B536" s="203"/>
      <c r="C536" s="204"/>
      <c r="D536" s="205"/>
      <c r="E536" s="206"/>
      <c r="F536" s="207"/>
      <c r="G536" s="208"/>
      <c r="H536" s="209"/>
      <c r="I536" s="210"/>
      <c r="J536" s="205"/>
    </row>
    <row r="537">
      <c r="A537" s="203"/>
      <c r="B537" s="203"/>
      <c r="C537" s="204"/>
      <c r="D537" s="205"/>
      <c r="E537" s="206"/>
      <c r="F537" s="207"/>
      <c r="G537" s="208"/>
      <c r="H537" s="209"/>
      <c r="I537" s="210"/>
      <c r="J537" s="205"/>
    </row>
    <row r="538">
      <c r="A538" s="203"/>
      <c r="B538" s="203"/>
      <c r="C538" s="204"/>
      <c r="D538" s="205"/>
      <c r="E538" s="206"/>
      <c r="F538" s="207"/>
      <c r="G538" s="208"/>
      <c r="H538" s="209"/>
      <c r="I538" s="210"/>
      <c r="J538" s="205"/>
    </row>
    <row r="539">
      <c r="A539" s="203"/>
      <c r="B539" s="203"/>
      <c r="C539" s="204"/>
      <c r="D539" s="205"/>
      <c r="E539" s="206"/>
      <c r="F539" s="207"/>
      <c r="G539" s="208"/>
      <c r="H539" s="209"/>
      <c r="I539" s="210"/>
      <c r="J539" s="205"/>
    </row>
    <row r="540">
      <c r="A540" s="203"/>
      <c r="B540" s="203"/>
      <c r="C540" s="204"/>
      <c r="D540" s="205"/>
      <c r="E540" s="206"/>
      <c r="F540" s="207"/>
      <c r="G540" s="208"/>
      <c r="H540" s="209"/>
      <c r="I540" s="210"/>
      <c r="J540" s="205"/>
    </row>
    <row r="541">
      <c r="A541" s="203"/>
      <c r="B541" s="203"/>
      <c r="C541" s="204"/>
      <c r="D541" s="205"/>
      <c r="E541" s="206"/>
      <c r="F541" s="207"/>
      <c r="G541" s="208"/>
      <c r="H541" s="209"/>
      <c r="I541" s="210"/>
      <c r="J541" s="205"/>
    </row>
    <row r="542">
      <c r="A542" s="203"/>
      <c r="B542" s="203"/>
      <c r="C542" s="204"/>
      <c r="D542" s="205"/>
      <c r="E542" s="206"/>
      <c r="F542" s="207"/>
      <c r="G542" s="208"/>
      <c r="H542" s="209"/>
      <c r="I542" s="210"/>
      <c r="J542" s="205"/>
    </row>
    <row r="543">
      <c r="A543" s="203"/>
      <c r="B543" s="203"/>
      <c r="C543" s="204"/>
      <c r="D543" s="205"/>
      <c r="E543" s="206"/>
      <c r="F543" s="207"/>
      <c r="G543" s="208"/>
      <c r="H543" s="209"/>
      <c r="I543" s="210"/>
      <c r="J543" s="205"/>
    </row>
    <row r="544">
      <c r="A544" s="203"/>
      <c r="B544" s="203"/>
      <c r="C544" s="204"/>
      <c r="D544" s="205"/>
      <c r="E544" s="206"/>
      <c r="F544" s="207"/>
      <c r="G544" s="208"/>
      <c r="H544" s="209"/>
      <c r="I544" s="210"/>
      <c r="J544" s="205"/>
    </row>
    <row r="545">
      <c r="A545" s="203"/>
      <c r="B545" s="203"/>
      <c r="C545" s="204"/>
      <c r="D545" s="205"/>
      <c r="E545" s="206"/>
      <c r="F545" s="207"/>
      <c r="G545" s="208"/>
      <c r="H545" s="209"/>
      <c r="I545" s="210"/>
      <c r="J545" s="205"/>
    </row>
    <row r="546">
      <c r="A546" s="203"/>
      <c r="B546" s="203"/>
      <c r="C546" s="204"/>
      <c r="D546" s="205"/>
      <c r="E546" s="206"/>
      <c r="F546" s="207"/>
      <c r="G546" s="208"/>
      <c r="H546" s="209"/>
      <c r="I546" s="210"/>
      <c r="J546" s="205"/>
    </row>
    <row r="547">
      <c r="A547" s="203"/>
      <c r="B547" s="203"/>
      <c r="C547" s="204"/>
      <c r="D547" s="205"/>
      <c r="E547" s="206"/>
      <c r="F547" s="207"/>
      <c r="G547" s="208"/>
      <c r="H547" s="209"/>
      <c r="I547" s="210"/>
      <c r="J547" s="205"/>
    </row>
    <row r="548">
      <c r="A548" s="203"/>
      <c r="B548" s="203"/>
      <c r="C548" s="204"/>
      <c r="D548" s="205"/>
      <c r="E548" s="206"/>
      <c r="F548" s="207"/>
      <c r="G548" s="208"/>
      <c r="H548" s="209"/>
      <c r="I548" s="210"/>
      <c r="J548" s="205"/>
    </row>
    <row r="549">
      <c r="A549" s="203"/>
      <c r="B549" s="203"/>
      <c r="C549" s="204"/>
      <c r="D549" s="205"/>
      <c r="E549" s="206"/>
      <c r="F549" s="207"/>
      <c r="G549" s="208"/>
      <c r="H549" s="209"/>
      <c r="I549" s="210"/>
      <c r="J549" s="205"/>
    </row>
    <row r="550">
      <c r="A550" s="203"/>
      <c r="B550" s="203"/>
      <c r="C550" s="204"/>
      <c r="D550" s="205"/>
      <c r="E550" s="206"/>
      <c r="F550" s="207"/>
      <c r="G550" s="208"/>
      <c r="H550" s="209"/>
      <c r="I550" s="210"/>
      <c r="J550" s="205"/>
    </row>
    <row r="551">
      <c r="A551" s="203"/>
      <c r="B551" s="203"/>
      <c r="C551" s="204"/>
      <c r="D551" s="205"/>
      <c r="E551" s="206"/>
      <c r="F551" s="207"/>
      <c r="G551" s="208"/>
      <c r="H551" s="209"/>
      <c r="I551" s="210"/>
      <c r="J551" s="205"/>
    </row>
    <row r="552">
      <c r="A552" s="203"/>
      <c r="B552" s="203"/>
      <c r="C552" s="204"/>
      <c r="D552" s="205"/>
      <c r="E552" s="206"/>
      <c r="F552" s="207"/>
      <c r="G552" s="208"/>
      <c r="H552" s="209"/>
      <c r="I552" s="210"/>
      <c r="J552" s="205"/>
    </row>
    <row r="553">
      <c r="A553" s="203"/>
      <c r="B553" s="203"/>
      <c r="C553" s="204"/>
      <c r="D553" s="205"/>
      <c r="E553" s="206"/>
      <c r="F553" s="207"/>
      <c r="G553" s="208"/>
      <c r="H553" s="209"/>
      <c r="I553" s="210"/>
      <c r="J553" s="205"/>
    </row>
    <row r="554">
      <c r="A554" s="203"/>
      <c r="B554" s="203"/>
      <c r="C554" s="204"/>
      <c r="D554" s="205"/>
      <c r="E554" s="206"/>
      <c r="F554" s="207"/>
      <c r="G554" s="208"/>
      <c r="H554" s="209"/>
      <c r="I554" s="210"/>
      <c r="J554" s="205"/>
    </row>
    <row r="555">
      <c r="A555" s="203"/>
      <c r="B555" s="203"/>
      <c r="C555" s="204"/>
      <c r="D555" s="205"/>
      <c r="E555" s="206"/>
      <c r="F555" s="207"/>
      <c r="G555" s="208"/>
      <c r="H555" s="209"/>
      <c r="I555" s="210"/>
      <c r="J555" s="205"/>
    </row>
    <row r="556">
      <c r="A556" s="203"/>
      <c r="B556" s="203"/>
      <c r="C556" s="204"/>
      <c r="D556" s="205"/>
      <c r="E556" s="206"/>
      <c r="F556" s="207"/>
      <c r="G556" s="208"/>
      <c r="H556" s="209"/>
      <c r="I556" s="210"/>
      <c r="J556" s="205"/>
    </row>
    <row r="557">
      <c r="A557" s="203"/>
      <c r="B557" s="203"/>
      <c r="C557" s="204"/>
      <c r="D557" s="205"/>
      <c r="E557" s="206"/>
      <c r="F557" s="207"/>
      <c r="G557" s="208"/>
      <c r="H557" s="209"/>
      <c r="I557" s="210"/>
      <c r="J557" s="205"/>
    </row>
    <row r="558">
      <c r="A558" s="203"/>
      <c r="B558" s="203"/>
      <c r="C558" s="204"/>
      <c r="D558" s="205"/>
      <c r="E558" s="206"/>
      <c r="F558" s="207"/>
      <c r="G558" s="208"/>
      <c r="H558" s="209"/>
      <c r="I558" s="210"/>
      <c r="J558" s="205"/>
    </row>
    <row r="559">
      <c r="A559" s="203"/>
      <c r="B559" s="203"/>
      <c r="C559" s="204"/>
      <c r="D559" s="205"/>
      <c r="E559" s="206"/>
      <c r="F559" s="207"/>
      <c r="G559" s="208"/>
      <c r="H559" s="209"/>
      <c r="I559" s="210"/>
      <c r="J559" s="205"/>
    </row>
    <row r="560">
      <c r="A560" s="203"/>
      <c r="B560" s="203"/>
      <c r="C560" s="204"/>
      <c r="D560" s="205"/>
      <c r="E560" s="206"/>
      <c r="F560" s="207"/>
      <c r="G560" s="208"/>
      <c r="H560" s="209"/>
      <c r="I560" s="210"/>
      <c r="J560" s="205"/>
    </row>
    <row r="561">
      <c r="A561" s="203"/>
      <c r="B561" s="203"/>
      <c r="C561" s="204"/>
      <c r="D561" s="205"/>
      <c r="E561" s="206"/>
      <c r="F561" s="207"/>
      <c r="G561" s="208"/>
      <c r="H561" s="209"/>
      <c r="I561" s="210"/>
      <c r="J561" s="205"/>
    </row>
    <row r="562">
      <c r="A562" s="203"/>
      <c r="B562" s="203"/>
      <c r="C562" s="204"/>
      <c r="D562" s="205"/>
      <c r="E562" s="206"/>
      <c r="F562" s="207"/>
      <c r="G562" s="208"/>
      <c r="H562" s="209"/>
      <c r="I562" s="210"/>
      <c r="J562" s="205"/>
    </row>
    <row r="563">
      <c r="A563" s="203"/>
      <c r="B563" s="203"/>
      <c r="C563" s="204"/>
      <c r="D563" s="205"/>
      <c r="E563" s="206"/>
      <c r="F563" s="207"/>
      <c r="G563" s="208"/>
      <c r="H563" s="209"/>
      <c r="I563" s="210"/>
      <c r="J563" s="205"/>
    </row>
    <row r="564">
      <c r="A564" s="203"/>
      <c r="B564" s="203"/>
      <c r="C564" s="204"/>
      <c r="D564" s="205"/>
      <c r="E564" s="206"/>
      <c r="F564" s="207"/>
      <c r="G564" s="208"/>
      <c r="H564" s="209"/>
      <c r="I564" s="210"/>
      <c r="J564" s="205"/>
    </row>
    <row r="565">
      <c r="A565" s="203"/>
      <c r="B565" s="203"/>
      <c r="C565" s="204"/>
      <c r="D565" s="205"/>
      <c r="E565" s="206"/>
      <c r="F565" s="207"/>
      <c r="G565" s="208"/>
      <c r="H565" s="209"/>
      <c r="I565" s="210"/>
      <c r="J565" s="205"/>
    </row>
    <row r="566">
      <c r="A566" s="203"/>
      <c r="B566" s="203"/>
      <c r="C566" s="204"/>
      <c r="D566" s="205"/>
      <c r="E566" s="206"/>
      <c r="F566" s="207"/>
      <c r="G566" s="208"/>
      <c r="H566" s="209"/>
      <c r="I566" s="210"/>
      <c r="J566" s="205"/>
    </row>
    <row r="567">
      <c r="A567" s="203"/>
      <c r="B567" s="203"/>
      <c r="C567" s="204"/>
      <c r="D567" s="205"/>
      <c r="E567" s="206"/>
      <c r="F567" s="207"/>
      <c r="G567" s="208"/>
      <c r="H567" s="209"/>
      <c r="I567" s="210"/>
      <c r="J567" s="205"/>
    </row>
    <row r="568">
      <c r="A568" s="203"/>
      <c r="B568" s="203"/>
      <c r="C568" s="204"/>
      <c r="D568" s="205"/>
      <c r="E568" s="206"/>
      <c r="F568" s="207"/>
      <c r="G568" s="208"/>
      <c r="H568" s="209"/>
      <c r="I568" s="210"/>
      <c r="J568" s="205"/>
    </row>
    <row r="569">
      <c r="A569" s="203"/>
      <c r="B569" s="203"/>
      <c r="C569" s="204"/>
      <c r="D569" s="205"/>
      <c r="E569" s="206"/>
      <c r="F569" s="207"/>
      <c r="G569" s="208"/>
      <c r="H569" s="209"/>
      <c r="I569" s="210"/>
      <c r="J569" s="205"/>
    </row>
    <row r="570">
      <c r="A570" s="203"/>
      <c r="B570" s="203"/>
      <c r="C570" s="204"/>
      <c r="D570" s="205"/>
      <c r="E570" s="206"/>
      <c r="F570" s="207"/>
      <c r="G570" s="208"/>
      <c r="H570" s="209"/>
      <c r="I570" s="210"/>
      <c r="J570" s="205"/>
    </row>
    <row r="571">
      <c r="A571" s="203"/>
      <c r="B571" s="203"/>
      <c r="C571" s="204"/>
      <c r="D571" s="205"/>
      <c r="E571" s="206"/>
      <c r="F571" s="207"/>
      <c r="G571" s="208"/>
      <c r="H571" s="209"/>
      <c r="I571" s="210"/>
      <c r="J571" s="205"/>
    </row>
    <row r="572">
      <c r="A572" s="203"/>
      <c r="B572" s="203"/>
      <c r="C572" s="204"/>
      <c r="D572" s="205"/>
      <c r="E572" s="206"/>
      <c r="F572" s="207"/>
      <c r="G572" s="208"/>
      <c r="H572" s="209"/>
      <c r="I572" s="210"/>
      <c r="J572" s="205"/>
    </row>
    <row r="573">
      <c r="A573" s="203"/>
      <c r="B573" s="203"/>
      <c r="C573" s="204"/>
      <c r="D573" s="205"/>
      <c r="E573" s="206"/>
      <c r="F573" s="207"/>
      <c r="G573" s="208"/>
      <c r="H573" s="209"/>
      <c r="I573" s="210"/>
      <c r="J573" s="205"/>
    </row>
    <row r="574">
      <c r="A574" s="203"/>
      <c r="B574" s="203"/>
      <c r="C574" s="204"/>
      <c r="D574" s="205"/>
      <c r="E574" s="206"/>
      <c r="F574" s="207"/>
      <c r="G574" s="208"/>
      <c r="H574" s="209"/>
      <c r="I574" s="210"/>
      <c r="J574" s="205"/>
    </row>
    <row r="575">
      <c r="A575" s="203"/>
      <c r="B575" s="203"/>
      <c r="C575" s="204"/>
      <c r="D575" s="205"/>
      <c r="E575" s="206"/>
      <c r="F575" s="207"/>
      <c r="G575" s="208"/>
      <c r="H575" s="209"/>
      <c r="I575" s="210"/>
      <c r="J575" s="205"/>
    </row>
    <row r="576">
      <c r="A576" s="203"/>
      <c r="B576" s="203"/>
      <c r="C576" s="204"/>
      <c r="D576" s="205"/>
      <c r="E576" s="206"/>
      <c r="F576" s="207"/>
      <c r="G576" s="208"/>
      <c r="H576" s="209"/>
      <c r="I576" s="210"/>
      <c r="J576" s="205"/>
    </row>
    <row r="577">
      <c r="A577" s="203"/>
      <c r="B577" s="203"/>
      <c r="C577" s="204"/>
      <c r="D577" s="205"/>
      <c r="E577" s="206"/>
      <c r="F577" s="207"/>
      <c r="G577" s="208"/>
      <c r="H577" s="209"/>
      <c r="I577" s="210"/>
      <c r="J577" s="205"/>
    </row>
    <row r="578">
      <c r="A578" s="203"/>
      <c r="B578" s="203"/>
      <c r="C578" s="204"/>
      <c r="D578" s="205"/>
      <c r="E578" s="206"/>
      <c r="F578" s="207"/>
      <c r="G578" s="208"/>
      <c r="H578" s="209"/>
      <c r="I578" s="210"/>
      <c r="J578" s="205"/>
    </row>
    <row r="579">
      <c r="A579" s="203"/>
      <c r="B579" s="203"/>
      <c r="C579" s="204"/>
      <c r="D579" s="205"/>
      <c r="E579" s="206"/>
      <c r="F579" s="207"/>
      <c r="G579" s="208"/>
      <c r="H579" s="209"/>
      <c r="I579" s="210"/>
      <c r="J579" s="205"/>
    </row>
    <row r="580">
      <c r="A580" s="203"/>
      <c r="B580" s="203"/>
      <c r="C580" s="204"/>
      <c r="D580" s="205"/>
      <c r="E580" s="206"/>
      <c r="F580" s="207"/>
      <c r="G580" s="208"/>
      <c r="H580" s="209"/>
      <c r="I580" s="210"/>
      <c r="J580" s="205"/>
    </row>
    <row r="581">
      <c r="A581" s="203"/>
      <c r="B581" s="203"/>
      <c r="C581" s="204"/>
      <c r="D581" s="205"/>
      <c r="E581" s="206"/>
      <c r="F581" s="207"/>
      <c r="G581" s="208"/>
      <c r="H581" s="209"/>
      <c r="I581" s="210"/>
      <c r="J581" s="205"/>
    </row>
    <row r="582">
      <c r="A582" s="203"/>
      <c r="B582" s="203"/>
      <c r="C582" s="204"/>
      <c r="D582" s="205"/>
      <c r="E582" s="206"/>
      <c r="F582" s="207"/>
      <c r="G582" s="208"/>
      <c r="H582" s="209"/>
      <c r="I582" s="210"/>
      <c r="J582" s="205"/>
    </row>
    <row r="583">
      <c r="A583" s="203"/>
      <c r="B583" s="203"/>
      <c r="C583" s="204"/>
      <c r="D583" s="205"/>
      <c r="E583" s="206"/>
      <c r="F583" s="207"/>
      <c r="G583" s="208"/>
      <c r="H583" s="209"/>
      <c r="I583" s="210"/>
      <c r="J583" s="205"/>
    </row>
    <row r="584">
      <c r="A584" s="203"/>
      <c r="B584" s="203"/>
      <c r="C584" s="204"/>
      <c r="D584" s="205"/>
      <c r="E584" s="206"/>
      <c r="F584" s="207"/>
      <c r="G584" s="208"/>
      <c r="H584" s="209"/>
      <c r="I584" s="210"/>
      <c r="J584" s="205"/>
    </row>
    <row r="585">
      <c r="A585" s="203"/>
      <c r="B585" s="203"/>
      <c r="C585" s="204"/>
      <c r="D585" s="205"/>
      <c r="E585" s="206"/>
      <c r="F585" s="207"/>
      <c r="G585" s="208"/>
      <c r="H585" s="209"/>
      <c r="I585" s="210"/>
      <c r="J585" s="205"/>
    </row>
    <row r="586">
      <c r="A586" s="203"/>
      <c r="B586" s="203"/>
      <c r="C586" s="204"/>
      <c r="D586" s="205"/>
      <c r="E586" s="206"/>
      <c r="F586" s="207"/>
      <c r="G586" s="208"/>
      <c r="H586" s="209"/>
      <c r="I586" s="210"/>
      <c r="J586" s="205"/>
    </row>
    <row r="587">
      <c r="A587" s="203"/>
      <c r="B587" s="203"/>
      <c r="C587" s="204"/>
      <c r="D587" s="205"/>
      <c r="E587" s="206"/>
      <c r="F587" s="207"/>
      <c r="G587" s="208"/>
      <c r="H587" s="209"/>
      <c r="I587" s="210"/>
      <c r="J587" s="205"/>
    </row>
    <row r="588">
      <c r="A588" s="203"/>
      <c r="B588" s="203"/>
      <c r="C588" s="204"/>
      <c r="D588" s="205"/>
      <c r="E588" s="206"/>
      <c r="F588" s="207"/>
      <c r="G588" s="208"/>
      <c r="H588" s="209"/>
      <c r="I588" s="210"/>
      <c r="J588" s="205"/>
    </row>
    <row r="589">
      <c r="A589" s="203"/>
      <c r="B589" s="203"/>
      <c r="C589" s="204"/>
      <c r="D589" s="205"/>
      <c r="E589" s="206"/>
      <c r="F589" s="207"/>
      <c r="G589" s="208"/>
      <c r="H589" s="209"/>
      <c r="I589" s="210"/>
      <c r="J589" s="205"/>
    </row>
    <row r="590">
      <c r="A590" s="203"/>
      <c r="B590" s="203"/>
      <c r="C590" s="204"/>
      <c r="D590" s="205"/>
      <c r="E590" s="206"/>
      <c r="F590" s="207"/>
      <c r="G590" s="208"/>
      <c r="H590" s="209"/>
      <c r="I590" s="210"/>
      <c r="J590" s="205"/>
    </row>
    <row r="591">
      <c r="A591" s="203"/>
      <c r="B591" s="203"/>
      <c r="C591" s="204"/>
      <c r="D591" s="205"/>
      <c r="E591" s="206"/>
      <c r="F591" s="207"/>
      <c r="G591" s="208"/>
      <c r="H591" s="209"/>
      <c r="I591" s="210"/>
      <c r="J591" s="205"/>
    </row>
    <row r="592">
      <c r="A592" s="203"/>
      <c r="B592" s="203"/>
      <c r="C592" s="204"/>
      <c r="D592" s="205"/>
      <c r="E592" s="206"/>
      <c r="F592" s="207"/>
      <c r="G592" s="208"/>
      <c r="H592" s="209"/>
      <c r="I592" s="210"/>
      <c r="J592" s="205"/>
    </row>
    <row r="593">
      <c r="A593" s="203"/>
      <c r="B593" s="203"/>
      <c r="C593" s="204"/>
      <c r="D593" s="205"/>
      <c r="E593" s="206"/>
      <c r="F593" s="207"/>
      <c r="G593" s="208"/>
      <c r="H593" s="209"/>
      <c r="I593" s="210"/>
      <c r="J593" s="205"/>
    </row>
    <row r="594">
      <c r="A594" s="203"/>
      <c r="B594" s="203"/>
      <c r="C594" s="204"/>
      <c r="D594" s="205"/>
      <c r="E594" s="206"/>
      <c r="F594" s="207"/>
      <c r="G594" s="208"/>
      <c r="H594" s="209"/>
      <c r="I594" s="210"/>
      <c r="J594" s="205"/>
    </row>
    <row r="595">
      <c r="A595" s="203"/>
      <c r="B595" s="203"/>
      <c r="C595" s="204"/>
      <c r="D595" s="205"/>
      <c r="E595" s="206"/>
      <c r="F595" s="207"/>
      <c r="G595" s="208"/>
      <c r="H595" s="209"/>
      <c r="I595" s="210"/>
      <c r="J595" s="205"/>
    </row>
    <row r="596">
      <c r="A596" s="203"/>
      <c r="B596" s="203"/>
      <c r="C596" s="204"/>
      <c r="D596" s="205"/>
      <c r="E596" s="206"/>
      <c r="F596" s="207"/>
      <c r="G596" s="208"/>
      <c r="H596" s="209"/>
      <c r="I596" s="210"/>
      <c r="J596" s="205"/>
    </row>
    <row r="597">
      <c r="A597" s="203"/>
      <c r="B597" s="203"/>
      <c r="C597" s="204"/>
      <c r="D597" s="205"/>
      <c r="E597" s="206"/>
      <c r="F597" s="207"/>
      <c r="G597" s="208"/>
      <c r="H597" s="209"/>
      <c r="I597" s="210"/>
      <c r="J597" s="205"/>
    </row>
    <row r="598">
      <c r="A598" s="203"/>
      <c r="B598" s="203"/>
      <c r="C598" s="204"/>
      <c r="D598" s="205"/>
      <c r="E598" s="206"/>
      <c r="F598" s="207"/>
      <c r="G598" s="208"/>
      <c r="H598" s="209"/>
      <c r="I598" s="210"/>
      <c r="J598" s="205"/>
    </row>
    <row r="599">
      <c r="A599" s="203"/>
      <c r="B599" s="203"/>
      <c r="C599" s="204"/>
      <c r="D599" s="205"/>
      <c r="E599" s="206"/>
      <c r="F599" s="207"/>
      <c r="G599" s="208"/>
      <c r="H599" s="209"/>
      <c r="I599" s="210"/>
      <c r="J599" s="205"/>
    </row>
    <row r="600">
      <c r="A600" s="203"/>
      <c r="B600" s="203"/>
      <c r="C600" s="204"/>
      <c r="D600" s="205"/>
      <c r="E600" s="206"/>
      <c r="F600" s="207"/>
      <c r="G600" s="208"/>
      <c r="H600" s="209"/>
      <c r="I600" s="210"/>
      <c r="J600" s="205"/>
    </row>
    <row r="601">
      <c r="A601" s="203"/>
      <c r="B601" s="203"/>
      <c r="C601" s="204"/>
      <c r="D601" s="205"/>
      <c r="E601" s="206"/>
      <c r="F601" s="207"/>
      <c r="G601" s="208"/>
      <c r="H601" s="209"/>
      <c r="I601" s="210"/>
      <c r="J601" s="205"/>
    </row>
    <row r="602">
      <c r="A602" s="203"/>
      <c r="B602" s="203"/>
      <c r="C602" s="204"/>
      <c r="D602" s="205"/>
      <c r="E602" s="206"/>
      <c r="F602" s="207"/>
      <c r="G602" s="208"/>
      <c r="H602" s="209"/>
      <c r="I602" s="210"/>
      <c r="J602" s="205"/>
    </row>
    <row r="603">
      <c r="A603" s="203"/>
      <c r="B603" s="203"/>
      <c r="C603" s="204"/>
      <c r="D603" s="205"/>
      <c r="E603" s="206"/>
      <c r="F603" s="207"/>
      <c r="G603" s="208"/>
      <c r="H603" s="209"/>
      <c r="I603" s="210"/>
      <c r="J603" s="205"/>
    </row>
    <row r="604">
      <c r="A604" s="203"/>
      <c r="B604" s="203"/>
      <c r="C604" s="204"/>
      <c r="D604" s="205"/>
      <c r="E604" s="206"/>
      <c r="F604" s="207"/>
      <c r="G604" s="208"/>
      <c r="H604" s="209"/>
      <c r="I604" s="210"/>
      <c r="J604" s="205"/>
    </row>
    <row r="605">
      <c r="A605" s="203"/>
      <c r="B605" s="203"/>
      <c r="C605" s="204"/>
      <c r="D605" s="205"/>
      <c r="E605" s="206"/>
      <c r="F605" s="207"/>
      <c r="G605" s="208"/>
      <c r="H605" s="209"/>
      <c r="I605" s="210"/>
      <c r="J605" s="205"/>
    </row>
    <row r="606">
      <c r="A606" s="203"/>
      <c r="B606" s="203"/>
      <c r="C606" s="204"/>
      <c r="D606" s="205"/>
      <c r="E606" s="206"/>
      <c r="F606" s="207"/>
      <c r="G606" s="208"/>
      <c r="H606" s="209"/>
      <c r="I606" s="210"/>
      <c r="J606" s="205"/>
    </row>
    <row r="607">
      <c r="A607" s="203"/>
      <c r="B607" s="203"/>
      <c r="C607" s="204"/>
      <c r="D607" s="205"/>
      <c r="E607" s="206"/>
      <c r="F607" s="207"/>
      <c r="G607" s="208"/>
      <c r="H607" s="209"/>
      <c r="I607" s="210"/>
      <c r="J607" s="205"/>
    </row>
    <row r="608">
      <c r="A608" s="203"/>
      <c r="B608" s="203"/>
      <c r="C608" s="204"/>
      <c r="D608" s="205"/>
      <c r="E608" s="206"/>
      <c r="F608" s="207"/>
      <c r="G608" s="208"/>
      <c r="H608" s="209"/>
      <c r="I608" s="210"/>
      <c r="J608" s="205"/>
    </row>
    <row r="609">
      <c r="A609" s="203"/>
      <c r="B609" s="203"/>
      <c r="C609" s="204"/>
      <c r="D609" s="205"/>
      <c r="E609" s="206"/>
      <c r="F609" s="207"/>
      <c r="G609" s="208"/>
      <c r="H609" s="209"/>
      <c r="I609" s="210"/>
      <c r="J609" s="205"/>
    </row>
    <row r="610">
      <c r="A610" s="203"/>
      <c r="B610" s="203"/>
      <c r="C610" s="204"/>
      <c r="D610" s="205"/>
      <c r="E610" s="206"/>
      <c r="F610" s="207"/>
      <c r="G610" s="208"/>
      <c r="H610" s="209"/>
      <c r="I610" s="210"/>
      <c r="J610" s="205"/>
    </row>
    <row r="611">
      <c r="A611" s="203"/>
      <c r="B611" s="203"/>
      <c r="C611" s="204"/>
      <c r="D611" s="205"/>
      <c r="E611" s="206"/>
      <c r="F611" s="207"/>
      <c r="G611" s="208"/>
      <c r="H611" s="209"/>
      <c r="I611" s="210"/>
      <c r="J611" s="205"/>
    </row>
    <row r="612">
      <c r="A612" s="203"/>
      <c r="B612" s="203"/>
      <c r="C612" s="204"/>
      <c r="D612" s="205"/>
      <c r="E612" s="206"/>
      <c r="F612" s="207"/>
      <c r="G612" s="208"/>
      <c r="H612" s="209"/>
      <c r="I612" s="210"/>
      <c r="J612" s="205"/>
    </row>
    <row r="613">
      <c r="A613" s="203"/>
      <c r="B613" s="203"/>
      <c r="C613" s="204"/>
      <c r="D613" s="205"/>
      <c r="E613" s="206"/>
      <c r="F613" s="207"/>
      <c r="G613" s="208"/>
      <c r="H613" s="209"/>
      <c r="I613" s="210"/>
      <c r="J613" s="205"/>
    </row>
    <row r="614">
      <c r="A614" s="203"/>
      <c r="B614" s="203"/>
      <c r="C614" s="204"/>
      <c r="D614" s="205"/>
      <c r="E614" s="206"/>
      <c r="F614" s="207"/>
      <c r="G614" s="208"/>
      <c r="H614" s="209"/>
      <c r="I614" s="210"/>
      <c r="J614" s="205"/>
    </row>
    <row r="615">
      <c r="A615" s="203"/>
      <c r="B615" s="203"/>
      <c r="C615" s="204"/>
      <c r="D615" s="205"/>
      <c r="E615" s="206"/>
      <c r="F615" s="207"/>
      <c r="G615" s="208"/>
      <c r="H615" s="209"/>
      <c r="I615" s="210"/>
      <c r="J615" s="205"/>
    </row>
    <row r="616">
      <c r="A616" s="203"/>
      <c r="B616" s="203"/>
      <c r="C616" s="204"/>
      <c r="D616" s="205"/>
      <c r="E616" s="206"/>
      <c r="F616" s="207"/>
      <c r="G616" s="208"/>
      <c r="H616" s="209"/>
      <c r="I616" s="210"/>
      <c r="J616" s="205"/>
    </row>
    <row r="617">
      <c r="A617" s="203"/>
      <c r="B617" s="203"/>
      <c r="C617" s="204"/>
      <c r="D617" s="205"/>
      <c r="E617" s="206"/>
      <c r="F617" s="207"/>
      <c r="G617" s="208"/>
      <c r="H617" s="209"/>
      <c r="I617" s="210"/>
      <c r="J617" s="205"/>
    </row>
    <row r="618">
      <c r="A618" s="203"/>
      <c r="B618" s="203"/>
      <c r="C618" s="204"/>
      <c r="D618" s="205"/>
      <c r="E618" s="206"/>
      <c r="F618" s="207"/>
      <c r="G618" s="208"/>
      <c r="H618" s="209"/>
      <c r="I618" s="210"/>
      <c r="J618" s="205"/>
    </row>
    <row r="619">
      <c r="A619" s="203"/>
      <c r="B619" s="203"/>
      <c r="C619" s="204"/>
      <c r="D619" s="205"/>
      <c r="E619" s="206"/>
      <c r="F619" s="207"/>
      <c r="G619" s="208"/>
      <c r="H619" s="209"/>
      <c r="I619" s="210"/>
      <c r="J619" s="205"/>
    </row>
    <row r="620">
      <c r="A620" s="203"/>
      <c r="B620" s="203"/>
      <c r="C620" s="204"/>
      <c r="D620" s="205"/>
      <c r="E620" s="206"/>
      <c r="F620" s="207"/>
      <c r="G620" s="208"/>
      <c r="H620" s="209"/>
      <c r="I620" s="210"/>
      <c r="J620" s="205"/>
    </row>
    <row r="621">
      <c r="A621" s="203"/>
      <c r="B621" s="203"/>
      <c r="C621" s="204"/>
      <c r="D621" s="205"/>
      <c r="E621" s="206"/>
      <c r="F621" s="207"/>
      <c r="G621" s="208"/>
      <c r="H621" s="209"/>
      <c r="I621" s="210"/>
      <c r="J621" s="205"/>
    </row>
    <row r="622">
      <c r="A622" s="203"/>
      <c r="B622" s="203"/>
      <c r="C622" s="204"/>
      <c r="D622" s="205"/>
      <c r="E622" s="206"/>
      <c r="F622" s="207"/>
      <c r="G622" s="208"/>
      <c r="H622" s="209"/>
      <c r="I622" s="210"/>
      <c r="J622" s="205"/>
    </row>
    <row r="623">
      <c r="A623" s="203"/>
      <c r="B623" s="203"/>
      <c r="C623" s="204"/>
      <c r="D623" s="205"/>
      <c r="E623" s="206"/>
      <c r="F623" s="207"/>
      <c r="G623" s="208"/>
      <c r="H623" s="209"/>
      <c r="I623" s="210"/>
      <c r="J623" s="205"/>
    </row>
    <row r="624">
      <c r="A624" s="203"/>
      <c r="B624" s="203"/>
      <c r="C624" s="204"/>
      <c r="D624" s="205"/>
      <c r="E624" s="206"/>
      <c r="F624" s="207"/>
      <c r="G624" s="208"/>
      <c r="H624" s="209"/>
      <c r="I624" s="210"/>
      <c r="J624" s="205"/>
    </row>
    <row r="625">
      <c r="A625" s="203"/>
      <c r="B625" s="203"/>
      <c r="C625" s="204"/>
      <c r="D625" s="205"/>
      <c r="E625" s="206"/>
      <c r="F625" s="207"/>
      <c r="G625" s="208"/>
      <c r="H625" s="209"/>
      <c r="I625" s="210"/>
      <c r="J625" s="205"/>
    </row>
    <row r="626">
      <c r="A626" s="203"/>
      <c r="B626" s="203"/>
      <c r="C626" s="204"/>
      <c r="D626" s="205"/>
      <c r="E626" s="206"/>
      <c r="F626" s="207"/>
      <c r="G626" s="208"/>
      <c r="H626" s="209"/>
      <c r="I626" s="210"/>
      <c r="J626" s="205"/>
    </row>
    <row r="627">
      <c r="A627" s="203"/>
      <c r="B627" s="203"/>
      <c r="C627" s="204"/>
      <c r="D627" s="205"/>
      <c r="E627" s="206"/>
      <c r="F627" s="207"/>
      <c r="G627" s="208"/>
      <c r="H627" s="209"/>
      <c r="I627" s="210"/>
      <c r="J627" s="205"/>
    </row>
    <row r="628">
      <c r="A628" s="203"/>
      <c r="B628" s="203"/>
      <c r="C628" s="204"/>
      <c r="D628" s="205"/>
      <c r="E628" s="206"/>
      <c r="F628" s="207"/>
      <c r="G628" s="208"/>
      <c r="H628" s="209"/>
      <c r="I628" s="210"/>
      <c r="J628" s="205"/>
    </row>
    <row r="629">
      <c r="A629" s="203"/>
      <c r="B629" s="203"/>
      <c r="C629" s="204"/>
      <c r="D629" s="205"/>
      <c r="E629" s="206"/>
      <c r="F629" s="207"/>
      <c r="G629" s="208"/>
      <c r="H629" s="209"/>
      <c r="I629" s="210"/>
      <c r="J629" s="205"/>
    </row>
    <row r="630">
      <c r="A630" s="203"/>
      <c r="B630" s="203"/>
      <c r="C630" s="204"/>
      <c r="D630" s="205"/>
      <c r="E630" s="206"/>
      <c r="F630" s="207"/>
      <c r="G630" s="208"/>
      <c r="H630" s="209"/>
      <c r="I630" s="210"/>
      <c r="J630" s="205"/>
    </row>
    <row r="631">
      <c r="A631" s="203"/>
      <c r="B631" s="203"/>
      <c r="C631" s="204"/>
      <c r="D631" s="205"/>
      <c r="E631" s="206"/>
      <c r="F631" s="207"/>
      <c r="G631" s="208"/>
      <c r="H631" s="209"/>
      <c r="I631" s="210"/>
      <c r="J631" s="205"/>
    </row>
    <row r="632">
      <c r="A632" s="203"/>
      <c r="B632" s="203"/>
      <c r="C632" s="204"/>
      <c r="D632" s="205"/>
      <c r="E632" s="206"/>
      <c r="F632" s="207"/>
      <c r="G632" s="208"/>
      <c r="H632" s="209"/>
      <c r="I632" s="210"/>
      <c r="J632" s="205"/>
    </row>
    <row r="633">
      <c r="A633" s="203"/>
      <c r="B633" s="203"/>
      <c r="C633" s="204"/>
      <c r="D633" s="205"/>
      <c r="E633" s="206"/>
      <c r="F633" s="207"/>
      <c r="G633" s="208"/>
      <c r="H633" s="209"/>
      <c r="I633" s="210"/>
      <c r="J633" s="205"/>
    </row>
    <row r="634">
      <c r="A634" s="203"/>
      <c r="B634" s="203"/>
      <c r="C634" s="204"/>
      <c r="D634" s="205"/>
      <c r="E634" s="206"/>
      <c r="F634" s="207"/>
      <c r="G634" s="208"/>
      <c r="H634" s="209"/>
      <c r="I634" s="210"/>
      <c r="J634" s="205"/>
    </row>
    <row r="635">
      <c r="A635" s="203"/>
      <c r="B635" s="203"/>
      <c r="C635" s="204"/>
      <c r="D635" s="205"/>
      <c r="E635" s="206"/>
      <c r="F635" s="207"/>
      <c r="G635" s="208"/>
      <c r="H635" s="209"/>
      <c r="I635" s="210"/>
      <c r="J635" s="205"/>
    </row>
    <row r="636">
      <c r="A636" s="203"/>
      <c r="B636" s="203"/>
      <c r="C636" s="204"/>
      <c r="D636" s="205"/>
      <c r="E636" s="206"/>
      <c r="F636" s="207"/>
      <c r="G636" s="208"/>
      <c r="H636" s="209"/>
      <c r="I636" s="210"/>
      <c r="J636" s="205"/>
    </row>
    <row r="637">
      <c r="A637" s="203"/>
      <c r="B637" s="203"/>
      <c r="C637" s="204"/>
      <c r="D637" s="205"/>
      <c r="E637" s="206"/>
      <c r="F637" s="207"/>
      <c r="G637" s="208"/>
      <c r="H637" s="209"/>
      <c r="I637" s="210"/>
      <c r="J637" s="205"/>
    </row>
    <row r="638">
      <c r="A638" s="203"/>
      <c r="B638" s="203"/>
      <c r="C638" s="204"/>
      <c r="D638" s="205"/>
      <c r="E638" s="206"/>
      <c r="F638" s="207"/>
      <c r="G638" s="208"/>
      <c r="H638" s="209"/>
      <c r="I638" s="210"/>
      <c r="J638" s="205"/>
    </row>
    <row r="639">
      <c r="A639" s="203"/>
      <c r="B639" s="203"/>
      <c r="C639" s="204"/>
      <c r="D639" s="205"/>
      <c r="E639" s="206"/>
      <c r="F639" s="207"/>
      <c r="G639" s="208"/>
      <c r="H639" s="209"/>
      <c r="I639" s="210"/>
      <c r="J639" s="205"/>
    </row>
    <row r="640">
      <c r="A640" s="203"/>
      <c r="B640" s="203"/>
      <c r="C640" s="204"/>
      <c r="D640" s="205"/>
      <c r="E640" s="206"/>
      <c r="F640" s="207"/>
      <c r="G640" s="208"/>
      <c r="H640" s="209"/>
      <c r="I640" s="210"/>
      <c r="J640" s="205"/>
    </row>
    <row r="641">
      <c r="A641" s="203"/>
      <c r="B641" s="203"/>
      <c r="C641" s="204"/>
      <c r="D641" s="205"/>
      <c r="E641" s="206"/>
      <c r="F641" s="207"/>
      <c r="G641" s="208"/>
      <c r="H641" s="209"/>
      <c r="I641" s="210"/>
      <c r="J641" s="205"/>
    </row>
    <row r="642">
      <c r="A642" s="203"/>
      <c r="B642" s="203"/>
      <c r="C642" s="204"/>
      <c r="D642" s="205"/>
      <c r="E642" s="206"/>
      <c r="F642" s="207"/>
      <c r="G642" s="208"/>
      <c r="H642" s="209"/>
      <c r="I642" s="210"/>
      <c r="J642" s="205"/>
    </row>
    <row r="643">
      <c r="A643" s="203"/>
      <c r="B643" s="203"/>
      <c r="C643" s="204"/>
      <c r="D643" s="205"/>
      <c r="E643" s="206"/>
      <c r="F643" s="207"/>
      <c r="G643" s="208"/>
      <c r="H643" s="209"/>
      <c r="I643" s="210"/>
      <c r="J643" s="205"/>
    </row>
    <row r="644">
      <c r="A644" s="203"/>
      <c r="B644" s="203"/>
      <c r="C644" s="204"/>
      <c r="D644" s="205"/>
      <c r="E644" s="206"/>
      <c r="F644" s="207"/>
      <c r="G644" s="208"/>
      <c r="H644" s="209"/>
      <c r="I644" s="210"/>
      <c r="J644" s="205"/>
    </row>
    <row r="645">
      <c r="A645" s="203"/>
      <c r="B645" s="203"/>
      <c r="C645" s="204"/>
      <c r="D645" s="205"/>
      <c r="E645" s="206"/>
      <c r="F645" s="207"/>
      <c r="G645" s="208"/>
      <c r="H645" s="209"/>
      <c r="I645" s="210"/>
      <c r="J645" s="205"/>
    </row>
    <row r="646">
      <c r="A646" s="203"/>
      <c r="B646" s="203"/>
      <c r="C646" s="204"/>
      <c r="D646" s="205"/>
      <c r="E646" s="206"/>
      <c r="F646" s="207"/>
      <c r="G646" s="208"/>
      <c r="H646" s="209"/>
      <c r="I646" s="210"/>
      <c r="J646" s="205"/>
    </row>
    <row r="647">
      <c r="A647" s="203"/>
      <c r="B647" s="203"/>
      <c r="C647" s="204"/>
      <c r="D647" s="205"/>
      <c r="E647" s="206"/>
      <c r="F647" s="207"/>
      <c r="G647" s="208"/>
      <c r="H647" s="209"/>
      <c r="I647" s="210"/>
      <c r="J647" s="205"/>
    </row>
    <row r="648">
      <c r="A648" s="203"/>
      <c r="B648" s="203"/>
      <c r="C648" s="204"/>
      <c r="D648" s="205"/>
      <c r="E648" s="206"/>
      <c r="F648" s="207"/>
      <c r="G648" s="208"/>
      <c r="H648" s="209"/>
      <c r="I648" s="210"/>
      <c r="J648" s="205"/>
    </row>
    <row r="649">
      <c r="A649" s="203"/>
      <c r="B649" s="203"/>
      <c r="C649" s="204"/>
      <c r="D649" s="205"/>
      <c r="E649" s="206"/>
      <c r="F649" s="207"/>
      <c r="G649" s="208"/>
      <c r="H649" s="209"/>
      <c r="I649" s="210"/>
      <c r="J649" s="205"/>
    </row>
    <row r="650">
      <c r="A650" s="203"/>
      <c r="B650" s="203"/>
      <c r="C650" s="204"/>
      <c r="D650" s="205"/>
      <c r="E650" s="206"/>
      <c r="F650" s="207"/>
      <c r="G650" s="208"/>
      <c r="H650" s="209"/>
      <c r="I650" s="210"/>
      <c r="J650" s="205"/>
    </row>
    <row r="651">
      <c r="A651" s="203"/>
      <c r="B651" s="203"/>
      <c r="C651" s="204"/>
      <c r="D651" s="205"/>
      <c r="E651" s="206"/>
      <c r="F651" s="207"/>
      <c r="G651" s="208"/>
      <c r="H651" s="209"/>
      <c r="I651" s="210"/>
      <c r="J651" s="205"/>
    </row>
    <row r="652">
      <c r="A652" s="203"/>
      <c r="B652" s="203"/>
      <c r="C652" s="204"/>
      <c r="D652" s="205"/>
      <c r="E652" s="206"/>
      <c r="F652" s="207"/>
      <c r="G652" s="208"/>
      <c r="H652" s="209"/>
      <c r="I652" s="210"/>
      <c r="J652" s="205"/>
    </row>
    <row r="653">
      <c r="A653" s="203"/>
      <c r="B653" s="203"/>
      <c r="C653" s="204"/>
      <c r="D653" s="205"/>
      <c r="E653" s="206"/>
      <c r="F653" s="207"/>
      <c r="G653" s="208"/>
      <c r="H653" s="209"/>
      <c r="I653" s="210"/>
      <c r="J653" s="205"/>
    </row>
    <row r="654">
      <c r="A654" s="203"/>
      <c r="B654" s="203"/>
      <c r="C654" s="204"/>
      <c r="D654" s="205"/>
      <c r="E654" s="206"/>
      <c r="F654" s="207"/>
      <c r="G654" s="208"/>
      <c r="H654" s="209"/>
      <c r="I654" s="210"/>
      <c r="J654" s="205"/>
    </row>
    <row r="655">
      <c r="A655" s="203"/>
      <c r="B655" s="203"/>
      <c r="C655" s="204"/>
      <c r="D655" s="205"/>
      <c r="E655" s="206"/>
      <c r="F655" s="207"/>
      <c r="G655" s="208"/>
      <c r="H655" s="209"/>
      <c r="I655" s="210"/>
      <c r="J655" s="205"/>
    </row>
    <row r="656">
      <c r="A656" s="203"/>
      <c r="B656" s="203"/>
      <c r="C656" s="204"/>
      <c r="D656" s="205"/>
      <c r="E656" s="206"/>
      <c r="F656" s="207"/>
      <c r="G656" s="208"/>
      <c r="H656" s="209"/>
      <c r="I656" s="210"/>
      <c r="J656" s="205"/>
    </row>
    <row r="657">
      <c r="A657" s="203"/>
      <c r="B657" s="203"/>
      <c r="C657" s="204"/>
      <c r="D657" s="205"/>
      <c r="E657" s="206"/>
      <c r="F657" s="207"/>
      <c r="G657" s="208"/>
      <c r="H657" s="209"/>
      <c r="I657" s="210"/>
      <c r="J657" s="205"/>
    </row>
    <row r="658">
      <c r="A658" s="203"/>
      <c r="B658" s="203"/>
      <c r="C658" s="204"/>
      <c r="D658" s="205"/>
      <c r="E658" s="206"/>
      <c r="F658" s="207"/>
      <c r="G658" s="208"/>
      <c r="H658" s="209"/>
      <c r="I658" s="210"/>
      <c r="J658" s="205"/>
    </row>
    <row r="659">
      <c r="A659" s="203"/>
      <c r="B659" s="203"/>
      <c r="C659" s="204"/>
      <c r="D659" s="205"/>
      <c r="E659" s="206"/>
      <c r="F659" s="207"/>
      <c r="G659" s="208"/>
      <c r="H659" s="209"/>
      <c r="I659" s="210"/>
      <c r="J659" s="205"/>
    </row>
    <row r="660">
      <c r="A660" s="203"/>
      <c r="B660" s="203"/>
      <c r="C660" s="204"/>
      <c r="D660" s="205"/>
      <c r="E660" s="206"/>
      <c r="F660" s="207"/>
      <c r="G660" s="208"/>
      <c r="H660" s="209"/>
      <c r="I660" s="210"/>
      <c r="J660" s="205"/>
    </row>
    <row r="661">
      <c r="A661" s="203"/>
      <c r="B661" s="203"/>
      <c r="C661" s="204"/>
      <c r="D661" s="205"/>
      <c r="E661" s="206"/>
      <c r="F661" s="207"/>
      <c r="G661" s="208"/>
      <c r="H661" s="209"/>
      <c r="I661" s="210"/>
      <c r="J661" s="205"/>
    </row>
    <row r="662">
      <c r="A662" s="203"/>
      <c r="B662" s="203"/>
      <c r="C662" s="204"/>
      <c r="D662" s="205"/>
      <c r="E662" s="206"/>
      <c r="F662" s="207"/>
      <c r="G662" s="208"/>
      <c r="H662" s="209"/>
      <c r="I662" s="210"/>
      <c r="J662" s="205"/>
    </row>
    <row r="663">
      <c r="A663" s="203"/>
      <c r="B663" s="203"/>
      <c r="C663" s="204"/>
      <c r="D663" s="205"/>
      <c r="E663" s="206"/>
      <c r="F663" s="207"/>
      <c r="G663" s="208"/>
      <c r="H663" s="209"/>
      <c r="I663" s="210"/>
      <c r="J663" s="205"/>
    </row>
    <row r="664">
      <c r="A664" s="203"/>
      <c r="B664" s="203"/>
      <c r="C664" s="204"/>
      <c r="D664" s="205"/>
      <c r="E664" s="206"/>
      <c r="F664" s="207"/>
      <c r="G664" s="208"/>
      <c r="H664" s="209"/>
      <c r="I664" s="210"/>
      <c r="J664" s="205"/>
    </row>
    <row r="665">
      <c r="A665" s="203"/>
      <c r="B665" s="203"/>
      <c r="C665" s="204"/>
      <c r="D665" s="205"/>
      <c r="E665" s="206"/>
      <c r="F665" s="207"/>
      <c r="G665" s="208"/>
      <c r="H665" s="209"/>
      <c r="I665" s="210"/>
      <c r="J665" s="205"/>
    </row>
    <row r="666">
      <c r="A666" s="203"/>
      <c r="B666" s="203"/>
      <c r="C666" s="204"/>
      <c r="D666" s="205"/>
      <c r="E666" s="206"/>
      <c r="F666" s="207"/>
      <c r="G666" s="208"/>
      <c r="H666" s="209"/>
      <c r="I666" s="210"/>
      <c r="J666" s="205"/>
    </row>
    <row r="667">
      <c r="A667" s="203"/>
      <c r="B667" s="203"/>
      <c r="C667" s="204"/>
      <c r="D667" s="205"/>
      <c r="E667" s="206"/>
      <c r="F667" s="207"/>
      <c r="G667" s="208"/>
      <c r="H667" s="209"/>
      <c r="I667" s="210"/>
      <c r="J667" s="205"/>
    </row>
    <row r="668">
      <c r="A668" s="203"/>
      <c r="B668" s="203"/>
      <c r="C668" s="204"/>
      <c r="D668" s="205"/>
      <c r="E668" s="206"/>
      <c r="F668" s="207"/>
      <c r="G668" s="208"/>
      <c r="H668" s="209"/>
      <c r="I668" s="210"/>
      <c r="J668" s="205"/>
    </row>
    <row r="669">
      <c r="A669" s="203"/>
      <c r="B669" s="203"/>
      <c r="C669" s="204"/>
      <c r="D669" s="205"/>
      <c r="E669" s="206"/>
      <c r="F669" s="207"/>
      <c r="G669" s="208"/>
      <c r="H669" s="209"/>
      <c r="I669" s="210"/>
      <c r="J669" s="205"/>
    </row>
    <row r="670">
      <c r="A670" s="203"/>
      <c r="B670" s="203"/>
      <c r="C670" s="204"/>
      <c r="D670" s="205"/>
      <c r="E670" s="206"/>
      <c r="F670" s="207"/>
      <c r="G670" s="208"/>
      <c r="H670" s="209"/>
      <c r="I670" s="210"/>
      <c r="J670" s="205"/>
    </row>
    <row r="671">
      <c r="A671" s="203"/>
      <c r="B671" s="203"/>
      <c r="C671" s="204"/>
      <c r="D671" s="205"/>
      <c r="E671" s="206"/>
      <c r="F671" s="207"/>
      <c r="G671" s="208"/>
      <c r="H671" s="209"/>
      <c r="I671" s="210"/>
      <c r="J671" s="205"/>
    </row>
    <row r="672">
      <c r="A672" s="203"/>
      <c r="B672" s="203"/>
      <c r="C672" s="204"/>
      <c r="D672" s="205"/>
      <c r="E672" s="206"/>
      <c r="F672" s="207"/>
      <c r="G672" s="208"/>
      <c r="H672" s="209"/>
      <c r="I672" s="210"/>
      <c r="J672" s="205"/>
    </row>
    <row r="673">
      <c r="A673" s="203"/>
      <c r="B673" s="203"/>
      <c r="C673" s="204"/>
      <c r="D673" s="205"/>
      <c r="E673" s="206"/>
      <c r="F673" s="207"/>
      <c r="G673" s="208"/>
      <c r="H673" s="209"/>
      <c r="I673" s="210"/>
      <c r="J673" s="205"/>
    </row>
    <row r="674">
      <c r="A674" s="203"/>
      <c r="B674" s="203"/>
      <c r="C674" s="204"/>
      <c r="D674" s="205"/>
      <c r="E674" s="206"/>
      <c r="F674" s="207"/>
      <c r="G674" s="208"/>
      <c r="H674" s="209"/>
      <c r="I674" s="210"/>
      <c r="J674" s="205"/>
    </row>
    <row r="675">
      <c r="A675" s="203"/>
      <c r="B675" s="203"/>
      <c r="C675" s="204"/>
      <c r="D675" s="205"/>
      <c r="E675" s="206"/>
      <c r="F675" s="207"/>
      <c r="G675" s="208"/>
      <c r="H675" s="209"/>
      <c r="I675" s="210"/>
      <c r="J675" s="205"/>
    </row>
    <row r="676">
      <c r="A676" s="203"/>
      <c r="B676" s="203"/>
      <c r="C676" s="204"/>
      <c r="D676" s="205"/>
      <c r="E676" s="206"/>
      <c r="F676" s="207"/>
      <c r="G676" s="208"/>
      <c r="H676" s="209"/>
      <c r="I676" s="210"/>
      <c r="J676" s="205"/>
    </row>
    <row r="677">
      <c r="A677" s="203"/>
      <c r="B677" s="203"/>
      <c r="C677" s="204"/>
      <c r="D677" s="205"/>
      <c r="E677" s="206"/>
      <c r="F677" s="207"/>
      <c r="G677" s="208"/>
      <c r="H677" s="209"/>
      <c r="I677" s="210"/>
      <c r="J677" s="205"/>
    </row>
    <row r="678">
      <c r="A678" s="203"/>
      <c r="B678" s="203"/>
      <c r="C678" s="204"/>
      <c r="D678" s="205"/>
      <c r="E678" s="206"/>
      <c r="F678" s="207"/>
      <c r="G678" s="208"/>
      <c r="H678" s="209"/>
      <c r="I678" s="210"/>
      <c r="J678" s="205"/>
    </row>
    <row r="679">
      <c r="A679" s="203"/>
      <c r="B679" s="203"/>
      <c r="C679" s="204"/>
      <c r="D679" s="205"/>
      <c r="E679" s="206"/>
      <c r="F679" s="207"/>
      <c r="G679" s="208"/>
      <c r="H679" s="209"/>
      <c r="I679" s="210"/>
      <c r="J679" s="205"/>
    </row>
    <row r="680">
      <c r="A680" s="203"/>
      <c r="B680" s="203"/>
      <c r="C680" s="204"/>
      <c r="D680" s="205"/>
      <c r="E680" s="206"/>
      <c r="F680" s="207"/>
      <c r="G680" s="208"/>
      <c r="H680" s="209"/>
      <c r="I680" s="210"/>
      <c r="J680" s="205"/>
    </row>
    <row r="681">
      <c r="A681" s="203"/>
      <c r="B681" s="203"/>
      <c r="C681" s="204"/>
      <c r="D681" s="205"/>
      <c r="E681" s="206"/>
      <c r="F681" s="207"/>
      <c r="G681" s="208"/>
      <c r="H681" s="209"/>
      <c r="I681" s="210"/>
      <c r="J681" s="205"/>
    </row>
    <row r="682">
      <c r="A682" s="203"/>
      <c r="B682" s="203"/>
      <c r="C682" s="204"/>
      <c r="D682" s="205"/>
      <c r="E682" s="206"/>
      <c r="F682" s="207"/>
      <c r="G682" s="208"/>
      <c r="H682" s="209"/>
      <c r="I682" s="210"/>
      <c r="J682" s="205"/>
    </row>
    <row r="683">
      <c r="A683" s="203"/>
      <c r="B683" s="203"/>
      <c r="C683" s="204"/>
      <c r="D683" s="205"/>
      <c r="E683" s="206"/>
      <c r="F683" s="207"/>
      <c r="G683" s="208"/>
      <c r="H683" s="209"/>
      <c r="I683" s="210"/>
      <c r="J683" s="205"/>
    </row>
    <row r="684">
      <c r="A684" s="203"/>
      <c r="B684" s="203"/>
      <c r="C684" s="204"/>
      <c r="D684" s="205"/>
      <c r="E684" s="206"/>
      <c r="F684" s="207"/>
      <c r="G684" s="208"/>
      <c r="H684" s="209"/>
      <c r="I684" s="210"/>
      <c r="J684" s="205"/>
    </row>
    <row r="685">
      <c r="A685" s="203"/>
      <c r="B685" s="203"/>
      <c r="C685" s="204"/>
      <c r="D685" s="205"/>
      <c r="E685" s="206"/>
      <c r="F685" s="207"/>
      <c r="G685" s="208"/>
      <c r="H685" s="209"/>
      <c r="I685" s="210"/>
      <c r="J685" s="205"/>
    </row>
    <row r="686">
      <c r="A686" s="203"/>
      <c r="B686" s="203"/>
      <c r="C686" s="204"/>
      <c r="D686" s="205"/>
      <c r="E686" s="206"/>
      <c r="F686" s="207"/>
      <c r="G686" s="208"/>
      <c r="H686" s="209"/>
      <c r="I686" s="210"/>
      <c r="J686" s="205"/>
    </row>
    <row r="687">
      <c r="A687" s="203"/>
      <c r="B687" s="203"/>
      <c r="C687" s="204"/>
      <c r="D687" s="205"/>
      <c r="E687" s="206"/>
      <c r="F687" s="207"/>
      <c r="G687" s="208"/>
      <c r="H687" s="209"/>
      <c r="I687" s="210"/>
      <c r="J687" s="205"/>
    </row>
    <row r="688">
      <c r="A688" s="203"/>
      <c r="B688" s="203"/>
      <c r="C688" s="204"/>
      <c r="D688" s="205"/>
      <c r="E688" s="206"/>
      <c r="F688" s="207"/>
      <c r="G688" s="208"/>
      <c r="H688" s="209"/>
      <c r="I688" s="210"/>
      <c r="J688" s="205"/>
    </row>
    <row r="689">
      <c r="A689" s="203"/>
      <c r="B689" s="203"/>
      <c r="C689" s="204"/>
      <c r="D689" s="205"/>
      <c r="E689" s="206"/>
      <c r="F689" s="207"/>
      <c r="G689" s="208"/>
      <c r="H689" s="209"/>
      <c r="I689" s="210"/>
      <c r="J689" s="205"/>
    </row>
    <row r="690">
      <c r="A690" s="203"/>
      <c r="B690" s="203"/>
      <c r="C690" s="204"/>
      <c r="D690" s="205"/>
      <c r="E690" s="206"/>
      <c r="F690" s="207"/>
      <c r="G690" s="208"/>
      <c r="H690" s="209"/>
      <c r="I690" s="210"/>
      <c r="J690" s="205"/>
    </row>
    <row r="691">
      <c r="A691" s="203"/>
      <c r="B691" s="203"/>
      <c r="C691" s="204"/>
      <c r="D691" s="205"/>
      <c r="E691" s="206"/>
      <c r="F691" s="207"/>
      <c r="G691" s="208"/>
      <c r="H691" s="209"/>
      <c r="I691" s="210"/>
      <c r="J691" s="205"/>
    </row>
    <row r="692">
      <c r="A692" s="203"/>
      <c r="B692" s="203"/>
      <c r="C692" s="204"/>
      <c r="D692" s="205"/>
      <c r="E692" s="206"/>
      <c r="F692" s="207"/>
      <c r="G692" s="208"/>
      <c r="H692" s="209"/>
      <c r="I692" s="210"/>
      <c r="J692" s="205"/>
    </row>
    <row r="693">
      <c r="A693" s="203"/>
      <c r="B693" s="203"/>
      <c r="C693" s="204"/>
      <c r="D693" s="205"/>
      <c r="E693" s="206"/>
      <c r="F693" s="207"/>
      <c r="G693" s="208"/>
      <c r="H693" s="209"/>
      <c r="I693" s="210"/>
      <c r="J693" s="205"/>
    </row>
    <row r="694">
      <c r="A694" s="203"/>
      <c r="B694" s="203"/>
      <c r="C694" s="204"/>
      <c r="D694" s="205"/>
      <c r="E694" s="206"/>
      <c r="F694" s="207"/>
      <c r="G694" s="208"/>
      <c r="H694" s="209"/>
      <c r="I694" s="210"/>
      <c r="J694" s="205"/>
    </row>
    <row r="695">
      <c r="A695" s="203"/>
      <c r="B695" s="203"/>
      <c r="C695" s="204"/>
      <c r="D695" s="205"/>
      <c r="E695" s="206"/>
      <c r="F695" s="207"/>
      <c r="G695" s="208"/>
      <c r="H695" s="209"/>
      <c r="I695" s="210"/>
      <c r="J695" s="205"/>
    </row>
    <row r="696">
      <c r="A696" s="203"/>
      <c r="B696" s="203"/>
      <c r="C696" s="204"/>
      <c r="D696" s="205"/>
      <c r="E696" s="206"/>
      <c r="F696" s="207"/>
      <c r="G696" s="208"/>
      <c r="H696" s="209"/>
      <c r="I696" s="210"/>
      <c r="J696" s="205"/>
    </row>
    <row r="697">
      <c r="A697" s="203"/>
      <c r="B697" s="203"/>
      <c r="C697" s="204"/>
      <c r="D697" s="205"/>
      <c r="E697" s="206"/>
      <c r="F697" s="207"/>
      <c r="G697" s="208"/>
      <c r="H697" s="209"/>
      <c r="I697" s="210"/>
      <c r="J697" s="205"/>
    </row>
    <row r="698">
      <c r="A698" s="203"/>
      <c r="B698" s="203"/>
      <c r="C698" s="204"/>
      <c r="D698" s="205"/>
      <c r="E698" s="206"/>
      <c r="F698" s="207"/>
      <c r="G698" s="208"/>
      <c r="H698" s="209"/>
      <c r="I698" s="210"/>
      <c r="J698" s="205"/>
    </row>
    <row r="699">
      <c r="A699" s="203"/>
      <c r="B699" s="203"/>
      <c r="C699" s="204"/>
      <c r="D699" s="205"/>
      <c r="E699" s="206"/>
      <c r="F699" s="207"/>
      <c r="G699" s="208"/>
      <c r="H699" s="209"/>
      <c r="I699" s="210"/>
      <c r="J699" s="205"/>
    </row>
    <row r="700">
      <c r="A700" s="203"/>
      <c r="B700" s="203"/>
      <c r="C700" s="204"/>
      <c r="D700" s="205"/>
      <c r="E700" s="206"/>
      <c r="F700" s="207"/>
      <c r="G700" s="208"/>
      <c r="H700" s="209"/>
      <c r="I700" s="210"/>
      <c r="J700" s="205"/>
    </row>
    <row r="701">
      <c r="A701" s="203"/>
      <c r="B701" s="203"/>
      <c r="C701" s="204"/>
      <c r="D701" s="205"/>
      <c r="E701" s="206"/>
      <c r="F701" s="207"/>
      <c r="G701" s="208"/>
      <c r="H701" s="209"/>
      <c r="I701" s="210"/>
      <c r="J701" s="205"/>
    </row>
    <row r="702">
      <c r="A702" s="203"/>
      <c r="B702" s="203"/>
      <c r="C702" s="204"/>
      <c r="D702" s="205"/>
      <c r="E702" s="206"/>
      <c r="F702" s="207"/>
      <c r="G702" s="208"/>
      <c r="H702" s="209"/>
      <c r="I702" s="210"/>
      <c r="J702" s="205"/>
    </row>
    <row r="703">
      <c r="A703" s="203"/>
      <c r="B703" s="203"/>
      <c r="C703" s="204"/>
      <c r="D703" s="205"/>
      <c r="E703" s="206"/>
      <c r="F703" s="207"/>
      <c r="G703" s="208"/>
      <c r="H703" s="209"/>
      <c r="I703" s="210"/>
      <c r="J703" s="205"/>
    </row>
    <row r="704">
      <c r="A704" s="203"/>
      <c r="B704" s="203"/>
      <c r="C704" s="204"/>
      <c r="D704" s="205"/>
      <c r="E704" s="206"/>
      <c r="F704" s="207"/>
      <c r="G704" s="208"/>
      <c r="H704" s="209"/>
      <c r="I704" s="210"/>
      <c r="J704" s="205"/>
    </row>
    <row r="705">
      <c r="A705" s="203"/>
      <c r="B705" s="203"/>
      <c r="C705" s="204"/>
      <c r="D705" s="205"/>
      <c r="E705" s="206"/>
      <c r="F705" s="207"/>
      <c r="G705" s="208"/>
      <c r="H705" s="209"/>
      <c r="I705" s="210"/>
      <c r="J705" s="205"/>
    </row>
    <row r="706">
      <c r="A706" s="203"/>
      <c r="B706" s="203"/>
      <c r="C706" s="204"/>
      <c r="D706" s="205"/>
      <c r="E706" s="206"/>
      <c r="F706" s="207"/>
      <c r="G706" s="208"/>
      <c r="H706" s="209"/>
      <c r="I706" s="210"/>
      <c r="J706" s="205"/>
    </row>
    <row r="707">
      <c r="A707" s="203"/>
      <c r="B707" s="203"/>
      <c r="C707" s="204"/>
      <c r="D707" s="205"/>
      <c r="E707" s="206"/>
      <c r="F707" s="207"/>
      <c r="G707" s="208"/>
      <c r="H707" s="209"/>
      <c r="I707" s="210"/>
      <c r="J707" s="205"/>
    </row>
    <row r="708">
      <c r="A708" s="203"/>
      <c r="B708" s="203"/>
      <c r="C708" s="204"/>
      <c r="D708" s="205"/>
      <c r="E708" s="206"/>
      <c r="F708" s="207"/>
      <c r="G708" s="208"/>
      <c r="H708" s="209"/>
      <c r="I708" s="210"/>
      <c r="J708" s="205"/>
    </row>
    <row r="709">
      <c r="A709" s="203"/>
      <c r="B709" s="203"/>
      <c r="C709" s="204"/>
      <c r="D709" s="205"/>
      <c r="E709" s="206"/>
      <c r="F709" s="207"/>
      <c r="G709" s="208"/>
      <c r="H709" s="209"/>
      <c r="I709" s="210"/>
      <c r="J709" s="205"/>
    </row>
    <row r="710">
      <c r="A710" s="203"/>
      <c r="B710" s="203"/>
      <c r="C710" s="204"/>
      <c r="D710" s="205"/>
      <c r="E710" s="206"/>
      <c r="F710" s="207"/>
      <c r="G710" s="208"/>
      <c r="H710" s="209"/>
      <c r="I710" s="210"/>
      <c r="J710" s="205"/>
    </row>
    <row r="711">
      <c r="A711" s="203"/>
      <c r="B711" s="203"/>
      <c r="C711" s="204"/>
      <c r="D711" s="205"/>
      <c r="E711" s="206"/>
      <c r="F711" s="207"/>
      <c r="G711" s="208"/>
      <c r="H711" s="209"/>
      <c r="I711" s="210"/>
      <c r="J711" s="205"/>
    </row>
    <row r="712">
      <c r="A712" s="203"/>
      <c r="B712" s="203"/>
      <c r="C712" s="204"/>
      <c r="D712" s="205"/>
      <c r="E712" s="206"/>
      <c r="F712" s="207"/>
      <c r="G712" s="208"/>
      <c r="H712" s="209"/>
      <c r="I712" s="210"/>
      <c r="J712" s="205"/>
    </row>
    <row r="713">
      <c r="A713" s="203"/>
      <c r="B713" s="203"/>
      <c r="C713" s="204"/>
      <c r="D713" s="205"/>
      <c r="E713" s="206"/>
      <c r="F713" s="207"/>
      <c r="G713" s="208"/>
      <c r="H713" s="209"/>
      <c r="I713" s="210"/>
      <c r="J713" s="205"/>
    </row>
    <row r="714">
      <c r="A714" s="203"/>
      <c r="B714" s="203"/>
      <c r="C714" s="204"/>
      <c r="D714" s="205"/>
      <c r="E714" s="206"/>
      <c r="F714" s="207"/>
      <c r="G714" s="208"/>
      <c r="H714" s="209"/>
      <c r="I714" s="210"/>
      <c r="J714" s="205"/>
    </row>
    <row r="715">
      <c r="A715" s="203"/>
      <c r="B715" s="203"/>
      <c r="C715" s="204"/>
      <c r="D715" s="205"/>
      <c r="E715" s="206"/>
      <c r="F715" s="207"/>
      <c r="G715" s="208"/>
      <c r="H715" s="209"/>
      <c r="I715" s="210"/>
      <c r="J715" s="205"/>
    </row>
    <row r="716">
      <c r="A716" s="203"/>
      <c r="B716" s="203"/>
      <c r="C716" s="204"/>
      <c r="D716" s="205"/>
      <c r="E716" s="206"/>
      <c r="F716" s="207"/>
      <c r="G716" s="208"/>
      <c r="H716" s="209"/>
      <c r="I716" s="210"/>
      <c r="J716" s="205"/>
    </row>
    <row r="717">
      <c r="A717" s="203"/>
      <c r="B717" s="203"/>
      <c r="C717" s="204"/>
      <c r="D717" s="205"/>
      <c r="E717" s="206"/>
      <c r="F717" s="207"/>
      <c r="G717" s="208"/>
      <c r="H717" s="209"/>
      <c r="I717" s="210"/>
      <c r="J717" s="205"/>
    </row>
    <row r="718">
      <c r="A718" s="203"/>
      <c r="B718" s="203"/>
      <c r="C718" s="204"/>
      <c r="D718" s="205"/>
      <c r="E718" s="206"/>
      <c r="F718" s="207"/>
      <c r="G718" s="208"/>
      <c r="H718" s="209"/>
      <c r="I718" s="210"/>
      <c r="J718" s="205"/>
    </row>
    <row r="719">
      <c r="A719" s="203"/>
      <c r="B719" s="203"/>
      <c r="C719" s="204"/>
      <c r="D719" s="205"/>
      <c r="E719" s="206"/>
      <c r="F719" s="207"/>
      <c r="G719" s="208"/>
      <c r="H719" s="209"/>
      <c r="I719" s="210"/>
      <c r="J719" s="205"/>
    </row>
    <row r="720">
      <c r="A720" s="203"/>
      <c r="B720" s="203"/>
      <c r="C720" s="204"/>
      <c r="D720" s="205"/>
      <c r="E720" s="206"/>
      <c r="F720" s="207"/>
      <c r="G720" s="208"/>
      <c r="H720" s="209"/>
      <c r="I720" s="210"/>
      <c r="J720" s="205"/>
    </row>
    <row r="721">
      <c r="A721" s="203"/>
      <c r="B721" s="203"/>
      <c r="C721" s="204"/>
      <c r="D721" s="205"/>
      <c r="E721" s="206"/>
      <c r="F721" s="207"/>
      <c r="G721" s="208"/>
      <c r="H721" s="209"/>
      <c r="I721" s="210"/>
      <c r="J721" s="205"/>
    </row>
    <row r="722">
      <c r="A722" s="203"/>
      <c r="B722" s="203"/>
      <c r="C722" s="204"/>
      <c r="D722" s="205"/>
      <c r="E722" s="206"/>
      <c r="F722" s="207"/>
      <c r="G722" s="208"/>
      <c r="H722" s="209"/>
      <c r="I722" s="210"/>
      <c r="J722" s="205"/>
    </row>
    <row r="723">
      <c r="A723" s="203"/>
      <c r="B723" s="203"/>
      <c r="C723" s="204"/>
      <c r="D723" s="205"/>
      <c r="E723" s="206"/>
      <c r="F723" s="207"/>
      <c r="G723" s="208"/>
      <c r="H723" s="209"/>
      <c r="I723" s="210"/>
      <c r="J723" s="205"/>
    </row>
    <row r="724">
      <c r="A724" s="203"/>
      <c r="B724" s="203"/>
      <c r="C724" s="204"/>
      <c r="D724" s="205"/>
      <c r="E724" s="206"/>
      <c r="F724" s="207"/>
      <c r="G724" s="208"/>
      <c r="H724" s="209"/>
      <c r="I724" s="210"/>
      <c r="J724" s="205"/>
    </row>
    <row r="725">
      <c r="A725" s="203"/>
      <c r="B725" s="203"/>
      <c r="C725" s="204"/>
      <c r="D725" s="205"/>
      <c r="E725" s="206"/>
      <c r="F725" s="207"/>
      <c r="G725" s="208"/>
      <c r="H725" s="209"/>
      <c r="I725" s="210"/>
      <c r="J725" s="205"/>
    </row>
    <row r="726">
      <c r="A726" s="203"/>
      <c r="B726" s="203"/>
      <c r="C726" s="204"/>
      <c r="D726" s="205"/>
      <c r="E726" s="206"/>
      <c r="F726" s="207"/>
      <c r="G726" s="208"/>
      <c r="H726" s="209"/>
      <c r="I726" s="210"/>
      <c r="J726" s="205"/>
    </row>
    <row r="727">
      <c r="A727" s="203"/>
      <c r="B727" s="203"/>
      <c r="C727" s="204"/>
      <c r="D727" s="205"/>
      <c r="E727" s="206"/>
      <c r="F727" s="207"/>
      <c r="G727" s="208"/>
      <c r="H727" s="209"/>
      <c r="I727" s="210"/>
      <c r="J727" s="205"/>
    </row>
    <row r="728">
      <c r="A728" s="203"/>
      <c r="B728" s="203"/>
      <c r="C728" s="204"/>
      <c r="D728" s="205"/>
      <c r="E728" s="206"/>
      <c r="F728" s="207"/>
      <c r="G728" s="208"/>
      <c r="H728" s="209"/>
      <c r="I728" s="210"/>
      <c r="J728" s="205"/>
    </row>
    <row r="729">
      <c r="A729" s="203"/>
      <c r="B729" s="203"/>
      <c r="C729" s="204"/>
      <c r="D729" s="205"/>
      <c r="E729" s="206"/>
      <c r="F729" s="207"/>
      <c r="G729" s="208"/>
      <c r="H729" s="209"/>
      <c r="I729" s="210"/>
      <c r="J729" s="205"/>
    </row>
    <row r="730">
      <c r="A730" s="203"/>
      <c r="B730" s="203"/>
      <c r="C730" s="204"/>
      <c r="D730" s="205"/>
      <c r="E730" s="206"/>
      <c r="F730" s="207"/>
      <c r="G730" s="208"/>
      <c r="H730" s="209"/>
      <c r="I730" s="210"/>
      <c r="J730" s="205"/>
    </row>
    <row r="731">
      <c r="A731" s="203"/>
      <c r="B731" s="203"/>
      <c r="C731" s="204"/>
      <c r="D731" s="205"/>
      <c r="E731" s="206"/>
      <c r="F731" s="207"/>
      <c r="G731" s="208"/>
      <c r="H731" s="209"/>
      <c r="I731" s="210"/>
      <c r="J731" s="205"/>
    </row>
    <row r="732">
      <c r="A732" s="203"/>
      <c r="B732" s="203"/>
      <c r="C732" s="204"/>
      <c r="D732" s="205"/>
      <c r="E732" s="206"/>
      <c r="F732" s="207"/>
      <c r="G732" s="208"/>
      <c r="H732" s="209"/>
      <c r="I732" s="210"/>
      <c r="J732" s="205"/>
    </row>
    <row r="733">
      <c r="A733" s="203"/>
      <c r="B733" s="203"/>
      <c r="C733" s="204"/>
      <c r="D733" s="205"/>
      <c r="E733" s="206"/>
      <c r="F733" s="207"/>
      <c r="G733" s="208"/>
      <c r="H733" s="209"/>
      <c r="I733" s="210"/>
      <c r="J733" s="205"/>
    </row>
    <row r="734">
      <c r="A734" s="203"/>
      <c r="B734" s="203"/>
      <c r="C734" s="204"/>
      <c r="D734" s="205"/>
      <c r="E734" s="206"/>
      <c r="F734" s="207"/>
      <c r="G734" s="208"/>
      <c r="H734" s="209"/>
      <c r="I734" s="210"/>
      <c r="J734" s="205"/>
    </row>
    <row r="735">
      <c r="A735" s="203"/>
      <c r="B735" s="203"/>
      <c r="C735" s="204"/>
      <c r="D735" s="205"/>
      <c r="E735" s="206"/>
      <c r="F735" s="207"/>
      <c r="G735" s="208"/>
      <c r="H735" s="209"/>
      <c r="I735" s="210"/>
      <c r="J735" s="205"/>
    </row>
    <row r="736">
      <c r="A736" s="203"/>
      <c r="B736" s="203"/>
      <c r="C736" s="204"/>
      <c r="D736" s="205"/>
      <c r="E736" s="206"/>
      <c r="F736" s="207"/>
      <c r="G736" s="208"/>
      <c r="H736" s="209"/>
      <c r="I736" s="210"/>
      <c r="J736" s="205"/>
    </row>
    <row r="737">
      <c r="A737" s="203"/>
      <c r="B737" s="203"/>
      <c r="C737" s="204"/>
      <c r="D737" s="205"/>
      <c r="E737" s="206"/>
      <c r="F737" s="207"/>
      <c r="G737" s="208"/>
      <c r="H737" s="209"/>
      <c r="I737" s="210"/>
      <c r="J737" s="205"/>
    </row>
    <row r="738">
      <c r="A738" s="203"/>
      <c r="B738" s="203"/>
      <c r="C738" s="204"/>
      <c r="D738" s="205"/>
      <c r="E738" s="206"/>
      <c r="F738" s="207"/>
      <c r="G738" s="208"/>
      <c r="H738" s="209"/>
      <c r="I738" s="210"/>
      <c r="J738" s="205"/>
    </row>
    <row r="739">
      <c r="A739" s="203"/>
      <c r="B739" s="203"/>
      <c r="C739" s="204"/>
      <c r="D739" s="205"/>
      <c r="E739" s="206"/>
      <c r="F739" s="207"/>
      <c r="G739" s="208"/>
      <c r="H739" s="209"/>
      <c r="I739" s="210"/>
      <c r="J739" s="205"/>
    </row>
    <row r="740">
      <c r="A740" s="203"/>
      <c r="B740" s="203"/>
      <c r="C740" s="204"/>
      <c r="D740" s="205"/>
      <c r="E740" s="206"/>
      <c r="F740" s="207"/>
      <c r="G740" s="208"/>
      <c r="H740" s="209"/>
      <c r="I740" s="210"/>
      <c r="J740" s="205"/>
    </row>
    <row r="741">
      <c r="A741" s="203"/>
      <c r="B741" s="203"/>
      <c r="C741" s="204"/>
      <c r="D741" s="205"/>
      <c r="E741" s="206"/>
      <c r="F741" s="207"/>
      <c r="G741" s="208"/>
      <c r="H741" s="209"/>
      <c r="I741" s="210"/>
      <c r="J741" s="205"/>
    </row>
    <row r="742">
      <c r="A742" s="203"/>
      <c r="B742" s="203"/>
      <c r="C742" s="204"/>
      <c r="D742" s="205"/>
      <c r="E742" s="206"/>
      <c r="F742" s="207"/>
      <c r="G742" s="208"/>
      <c r="H742" s="209"/>
      <c r="I742" s="210"/>
      <c r="J742" s="205"/>
    </row>
    <row r="743">
      <c r="A743" s="203"/>
      <c r="B743" s="203"/>
      <c r="C743" s="204"/>
      <c r="D743" s="205"/>
      <c r="E743" s="206"/>
      <c r="F743" s="207"/>
      <c r="G743" s="208"/>
      <c r="H743" s="209"/>
      <c r="I743" s="210"/>
      <c r="J743" s="205"/>
    </row>
    <row r="744">
      <c r="A744" s="203"/>
      <c r="B744" s="203"/>
      <c r="C744" s="204"/>
      <c r="D744" s="205"/>
      <c r="E744" s="206"/>
      <c r="F744" s="207"/>
      <c r="G744" s="208"/>
      <c r="H744" s="209"/>
      <c r="I744" s="210"/>
      <c r="J744" s="205"/>
    </row>
    <row r="745">
      <c r="A745" s="203"/>
      <c r="B745" s="203"/>
      <c r="C745" s="204"/>
      <c r="D745" s="205"/>
      <c r="E745" s="206"/>
      <c r="F745" s="207"/>
      <c r="G745" s="208"/>
      <c r="H745" s="209"/>
      <c r="I745" s="210"/>
      <c r="J745" s="205"/>
    </row>
    <row r="746">
      <c r="A746" s="203"/>
      <c r="B746" s="203"/>
      <c r="C746" s="204"/>
      <c r="D746" s="205"/>
      <c r="E746" s="206"/>
      <c r="F746" s="207"/>
      <c r="G746" s="208"/>
      <c r="H746" s="209"/>
      <c r="I746" s="210"/>
      <c r="J746" s="205"/>
    </row>
    <row r="747">
      <c r="A747" s="203"/>
      <c r="B747" s="203"/>
      <c r="C747" s="204"/>
      <c r="D747" s="205"/>
      <c r="E747" s="206"/>
      <c r="F747" s="207"/>
      <c r="G747" s="208"/>
      <c r="H747" s="209"/>
      <c r="I747" s="210"/>
      <c r="J747" s="205"/>
    </row>
    <row r="748">
      <c r="A748" s="203"/>
      <c r="B748" s="203"/>
      <c r="C748" s="204"/>
      <c r="D748" s="205"/>
      <c r="E748" s="206"/>
      <c r="F748" s="207"/>
      <c r="G748" s="208"/>
      <c r="H748" s="209"/>
      <c r="I748" s="210"/>
      <c r="J748" s="205"/>
    </row>
    <row r="749">
      <c r="A749" s="203"/>
      <c r="B749" s="203"/>
      <c r="C749" s="204"/>
      <c r="D749" s="205"/>
      <c r="E749" s="206"/>
      <c r="F749" s="207"/>
      <c r="G749" s="208"/>
      <c r="H749" s="209"/>
      <c r="I749" s="210"/>
      <c r="J749" s="205"/>
    </row>
    <row r="750">
      <c r="A750" s="203"/>
      <c r="B750" s="203"/>
      <c r="C750" s="204"/>
      <c r="D750" s="205"/>
      <c r="E750" s="206"/>
      <c r="F750" s="207"/>
      <c r="G750" s="208"/>
      <c r="H750" s="209"/>
      <c r="I750" s="210"/>
      <c r="J750" s="205"/>
    </row>
    <row r="751">
      <c r="A751" s="203"/>
      <c r="B751" s="203"/>
      <c r="C751" s="204"/>
      <c r="D751" s="205"/>
      <c r="E751" s="206"/>
      <c r="F751" s="207"/>
      <c r="G751" s="208"/>
      <c r="H751" s="209"/>
      <c r="I751" s="210"/>
      <c r="J751" s="205"/>
    </row>
    <row r="752">
      <c r="A752" s="203"/>
      <c r="B752" s="203"/>
      <c r="C752" s="204"/>
      <c r="D752" s="205"/>
      <c r="E752" s="206"/>
      <c r="F752" s="207"/>
      <c r="G752" s="208"/>
      <c r="H752" s="209"/>
      <c r="I752" s="210"/>
      <c r="J752" s="205"/>
    </row>
    <row r="753">
      <c r="A753" s="203"/>
      <c r="B753" s="203"/>
      <c r="C753" s="204"/>
      <c r="D753" s="205"/>
      <c r="E753" s="206"/>
      <c r="F753" s="207"/>
      <c r="G753" s="208"/>
      <c r="H753" s="209"/>
      <c r="I753" s="210"/>
      <c r="J753" s="205"/>
    </row>
    <row r="754">
      <c r="A754" s="203"/>
      <c r="B754" s="203"/>
      <c r="C754" s="204"/>
      <c r="D754" s="205"/>
      <c r="E754" s="206"/>
      <c r="F754" s="207"/>
      <c r="G754" s="208"/>
      <c r="H754" s="209"/>
      <c r="I754" s="210"/>
      <c r="J754" s="205"/>
    </row>
    <row r="755">
      <c r="A755" s="203"/>
      <c r="B755" s="203"/>
      <c r="C755" s="204"/>
      <c r="D755" s="205"/>
      <c r="E755" s="206"/>
      <c r="F755" s="207"/>
      <c r="G755" s="208"/>
      <c r="H755" s="209"/>
      <c r="I755" s="210"/>
      <c r="J755" s="205"/>
    </row>
    <row r="756">
      <c r="A756" s="203"/>
      <c r="B756" s="203"/>
      <c r="C756" s="204"/>
      <c r="D756" s="205"/>
      <c r="E756" s="206"/>
      <c r="F756" s="207"/>
      <c r="G756" s="208"/>
      <c r="H756" s="209"/>
      <c r="I756" s="210"/>
      <c r="J756" s="205"/>
    </row>
    <row r="757">
      <c r="A757" s="203"/>
      <c r="B757" s="203"/>
      <c r="C757" s="204"/>
      <c r="D757" s="205"/>
      <c r="E757" s="206"/>
      <c r="F757" s="207"/>
      <c r="G757" s="208"/>
      <c r="H757" s="209"/>
      <c r="I757" s="210"/>
      <c r="J757" s="205"/>
    </row>
    <row r="758">
      <c r="A758" s="203"/>
      <c r="B758" s="203"/>
      <c r="C758" s="204"/>
      <c r="D758" s="205"/>
      <c r="E758" s="206"/>
      <c r="F758" s="207"/>
      <c r="G758" s="208"/>
      <c r="H758" s="209"/>
      <c r="I758" s="210"/>
      <c r="J758" s="205"/>
    </row>
    <row r="759">
      <c r="A759" s="203"/>
      <c r="B759" s="203"/>
      <c r="C759" s="204"/>
      <c r="D759" s="205"/>
      <c r="E759" s="206"/>
      <c r="F759" s="207"/>
      <c r="G759" s="208"/>
      <c r="H759" s="209"/>
      <c r="I759" s="210"/>
      <c r="J759" s="205"/>
    </row>
    <row r="760">
      <c r="A760" s="203"/>
      <c r="B760" s="203"/>
      <c r="C760" s="204"/>
      <c r="D760" s="205"/>
      <c r="E760" s="206"/>
      <c r="F760" s="207"/>
      <c r="G760" s="208"/>
      <c r="H760" s="209"/>
      <c r="I760" s="210"/>
      <c r="J760" s="205"/>
    </row>
    <row r="761">
      <c r="A761" s="203"/>
      <c r="B761" s="203"/>
      <c r="C761" s="204"/>
      <c r="D761" s="205"/>
      <c r="E761" s="206"/>
      <c r="F761" s="207"/>
      <c r="G761" s="208"/>
      <c r="H761" s="209"/>
      <c r="I761" s="210"/>
      <c r="J761" s="205"/>
    </row>
    <row r="762">
      <c r="A762" s="203"/>
      <c r="B762" s="203"/>
      <c r="C762" s="204"/>
      <c r="D762" s="205"/>
      <c r="E762" s="206"/>
      <c r="F762" s="207"/>
      <c r="G762" s="208"/>
      <c r="H762" s="209"/>
      <c r="I762" s="210"/>
      <c r="J762" s="205"/>
    </row>
    <row r="763">
      <c r="A763" s="203"/>
      <c r="B763" s="203"/>
      <c r="C763" s="204"/>
      <c r="D763" s="205"/>
      <c r="E763" s="206"/>
      <c r="F763" s="207"/>
      <c r="G763" s="208"/>
      <c r="H763" s="209"/>
      <c r="I763" s="210"/>
      <c r="J763" s="205"/>
    </row>
    <row r="764">
      <c r="A764" s="203"/>
      <c r="B764" s="203"/>
      <c r="C764" s="204"/>
      <c r="D764" s="205"/>
      <c r="E764" s="206"/>
      <c r="F764" s="207"/>
      <c r="G764" s="208"/>
      <c r="H764" s="209"/>
      <c r="I764" s="210"/>
      <c r="J764" s="205"/>
    </row>
    <row r="765">
      <c r="A765" s="203"/>
      <c r="B765" s="203"/>
      <c r="C765" s="204"/>
      <c r="D765" s="205"/>
      <c r="E765" s="206"/>
      <c r="F765" s="207"/>
      <c r="G765" s="208"/>
      <c r="H765" s="209"/>
      <c r="I765" s="210"/>
      <c r="J765" s="205"/>
    </row>
    <row r="766">
      <c r="A766" s="203"/>
      <c r="B766" s="203"/>
      <c r="C766" s="204"/>
      <c r="D766" s="205"/>
      <c r="E766" s="206"/>
      <c r="F766" s="207"/>
      <c r="G766" s="208"/>
      <c r="H766" s="209"/>
      <c r="I766" s="210"/>
      <c r="J766" s="205"/>
    </row>
    <row r="767">
      <c r="A767" s="203"/>
      <c r="B767" s="203"/>
      <c r="C767" s="204"/>
      <c r="D767" s="205"/>
      <c r="E767" s="206"/>
      <c r="F767" s="207"/>
      <c r="G767" s="208"/>
      <c r="H767" s="209"/>
      <c r="I767" s="210"/>
      <c r="J767" s="205"/>
    </row>
    <row r="768">
      <c r="A768" s="203"/>
      <c r="B768" s="203"/>
      <c r="C768" s="204"/>
      <c r="D768" s="205"/>
      <c r="E768" s="206"/>
      <c r="F768" s="207"/>
      <c r="G768" s="208"/>
      <c r="H768" s="209"/>
      <c r="I768" s="210"/>
      <c r="J768" s="205"/>
    </row>
    <row r="769">
      <c r="A769" s="203"/>
      <c r="B769" s="203"/>
      <c r="C769" s="204"/>
      <c r="D769" s="205"/>
      <c r="E769" s="206"/>
      <c r="F769" s="207"/>
      <c r="G769" s="208"/>
      <c r="H769" s="209"/>
      <c r="I769" s="210"/>
      <c r="J769" s="205"/>
    </row>
    <row r="770">
      <c r="A770" s="203"/>
      <c r="B770" s="203"/>
      <c r="C770" s="204"/>
      <c r="D770" s="205"/>
      <c r="E770" s="206"/>
      <c r="F770" s="207"/>
      <c r="G770" s="208"/>
      <c r="H770" s="209"/>
      <c r="I770" s="210"/>
      <c r="J770" s="205"/>
    </row>
    <row r="771">
      <c r="A771" s="203"/>
      <c r="B771" s="203"/>
      <c r="C771" s="204"/>
      <c r="D771" s="205"/>
      <c r="E771" s="206"/>
      <c r="F771" s="207"/>
      <c r="G771" s="208"/>
      <c r="H771" s="209"/>
      <c r="I771" s="210"/>
      <c r="J771" s="205"/>
    </row>
    <row r="772">
      <c r="A772" s="203"/>
      <c r="B772" s="203"/>
      <c r="C772" s="204"/>
      <c r="D772" s="205"/>
      <c r="E772" s="206"/>
      <c r="F772" s="207"/>
      <c r="G772" s="208"/>
      <c r="H772" s="209"/>
      <c r="I772" s="210"/>
      <c r="J772" s="205"/>
    </row>
    <row r="773">
      <c r="A773" s="203"/>
      <c r="B773" s="203"/>
      <c r="C773" s="204"/>
      <c r="D773" s="205"/>
      <c r="E773" s="206"/>
      <c r="F773" s="207"/>
      <c r="G773" s="208"/>
      <c r="H773" s="209"/>
      <c r="I773" s="210"/>
      <c r="J773" s="205"/>
    </row>
    <row r="774">
      <c r="A774" s="203"/>
      <c r="B774" s="203"/>
      <c r="C774" s="204"/>
      <c r="D774" s="205"/>
      <c r="E774" s="206"/>
      <c r="F774" s="207"/>
      <c r="G774" s="208"/>
      <c r="H774" s="209"/>
      <c r="I774" s="210"/>
      <c r="J774" s="205"/>
    </row>
    <row r="775">
      <c r="A775" s="203"/>
      <c r="B775" s="203"/>
      <c r="C775" s="204"/>
      <c r="D775" s="205"/>
      <c r="E775" s="206"/>
      <c r="F775" s="207"/>
      <c r="G775" s="208"/>
      <c r="H775" s="209"/>
      <c r="I775" s="210"/>
      <c r="J775" s="205"/>
    </row>
    <row r="776">
      <c r="A776" s="203"/>
      <c r="B776" s="203"/>
      <c r="C776" s="204"/>
      <c r="D776" s="205"/>
      <c r="E776" s="206"/>
      <c r="F776" s="207"/>
      <c r="G776" s="208"/>
      <c r="H776" s="209"/>
      <c r="I776" s="210"/>
      <c r="J776" s="205"/>
    </row>
    <row r="777">
      <c r="A777" s="203"/>
      <c r="B777" s="203"/>
      <c r="C777" s="204"/>
      <c r="D777" s="205"/>
      <c r="E777" s="206"/>
      <c r="F777" s="207"/>
      <c r="G777" s="208"/>
      <c r="H777" s="209"/>
      <c r="I777" s="210"/>
      <c r="J777" s="205"/>
    </row>
    <row r="778">
      <c r="A778" s="203"/>
      <c r="B778" s="203"/>
      <c r="C778" s="204"/>
      <c r="D778" s="205"/>
      <c r="E778" s="206"/>
      <c r="F778" s="207"/>
      <c r="G778" s="208"/>
      <c r="H778" s="209"/>
      <c r="I778" s="210"/>
      <c r="J778" s="205"/>
    </row>
    <row r="779">
      <c r="A779" s="203"/>
      <c r="B779" s="203"/>
      <c r="C779" s="204"/>
      <c r="D779" s="205"/>
      <c r="E779" s="206"/>
      <c r="F779" s="207"/>
      <c r="G779" s="208"/>
      <c r="H779" s="209"/>
      <c r="I779" s="210"/>
      <c r="J779" s="205"/>
    </row>
    <row r="780">
      <c r="A780" s="203"/>
      <c r="B780" s="203"/>
      <c r="C780" s="204"/>
      <c r="D780" s="205"/>
      <c r="E780" s="206"/>
      <c r="F780" s="207"/>
      <c r="G780" s="208"/>
      <c r="H780" s="209"/>
      <c r="I780" s="210"/>
      <c r="J780" s="205"/>
    </row>
    <row r="781">
      <c r="A781" s="203"/>
      <c r="B781" s="203"/>
      <c r="C781" s="204"/>
      <c r="D781" s="205"/>
      <c r="E781" s="206"/>
      <c r="F781" s="207"/>
      <c r="G781" s="208"/>
      <c r="H781" s="209"/>
      <c r="I781" s="210"/>
      <c r="J781" s="205"/>
    </row>
    <row r="782">
      <c r="A782" s="203"/>
      <c r="B782" s="203"/>
      <c r="C782" s="204"/>
      <c r="D782" s="205"/>
      <c r="E782" s="206"/>
      <c r="F782" s="207"/>
      <c r="G782" s="208"/>
      <c r="H782" s="209"/>
      <c r="I782" s="210"/>
      <c r="J782" s="205"/>
    </row>
    <row r="783">
      <c r="A783" s="203"/>
      <c r="B783" s="203"/>
      <c r="C783" s="204"/>
      <c r="D783" s="205"/>
      <c r="E783" s="206"/>
      <c r="F783" s="207"/>
      <c r="G783" s="208"/>
      <c r="H783" s="209"/>
      <c r="I783" s="210"/>
      <c r="J783" s="205"/>
    </row>
    <row r="784">
      <c r="A784" s="203"/>
      <c r="B784" s="203"/>
      <c r="C784" s="204"/>
      <c r="D784" s="205"/>
      <c r="E784" s="206"/>
      <c r="F784" s="207"/>
      <c r="G784" s="208"/>
      <c r="H784" s="209"/>
      <c r="I784" s="210"/>
      <c r="J784" s="205"/>
    </row>
    <row r="785">
      <c r="A785" s="203"/>
      <c r="B785" s="203"/>
      <c r="C785" s="204"/>
      <c r="D785" s="205"/>
      <c r="E785" s="206"/>
      <c r="F785" s="207"/>
      <c r="G785" s="208"/>
      <c r="H785" s="209"/>
      <c r="I785" s="210"/>
      <c r="J785" s="205"/>
    </row>
    <row r="786">
      <c r="A786" s="203"/>
      <c r="B786" s="203"/>
      <c r="C786" s="204"/>
      <c r="D786" s="205"/>
      <c r="E786" s="206"/>
      <c r="F786" s="207"/>
      <c r="G786" s="208"/>
      <c r="H786" s="209"/>
      <c r="I786" s="210"/>
      <c r="J786" s="205"/>
    </row>
    <row r="787">
      <c r="A787" s="203"/>
      <c r="B787" s="203"/>
      <c r="C787" s="204"/>
      <c r="D787" s="205"/>
      <c r="E787" s="206"/>
      <c r="F787" s="207"/>
      <c r="G787" s="208"/>
      <c r="H787" s="209"/>
      <c r="I787" s="210"/>
      <c r="J787" s="205"/>
    </row>
    <row r="788">
      <c r="A788" s="203"/>
      <c r="B788" s="203"/>
      <c r="C788" s="204"/>
      <c r="D788" s="205"/>
      <c r="E788" s="206"/>
      <c r="F788" s="207"/>
      <c r="G788" s="208"/>
      <c r="H788" s="209"/>
      <c r="I788" s="210"/>
      <c r="J788" s="205"/>
    </row>
    <row r="789">
      <c r="A789" s="203"/>
      <c r="B789" s="203"/>
      <c r="C789" s="204"/>
      <c r="D789" s="205"/>
      <c r="E789" s="206"/>
      <c r="F789" s="207"/>
      <c r="G789" s="208"/>
      <c r="H789" s="209"/>
      <c r="I789" s="210"/>
      <c r="J789" s="205"/>
    </row>
    <row r="790">
      <c r="A790" s="203"/>
      <c r="B790" s="203"/>
      <c r="C790" s="204"/>
      <c r="D790" s="205"/>
      <c r="E790" s="206"/>
      <c r="F790" s="207"/>
      <c r="G790" s="208"/>
      <c r="H790" s="209"/>
      <c r="I790" s="210"/>
      <c r="J790" s="205"/>
    </row>
    <row r="791">
      <c r="A791" s="203"/>
      <c r="B791" s="203"/>
      <c r="C791" s="204"/>
      <c r="D791" s="205"/>
      <c r="E791" s="206"/>
      <c r="F791" s="207"/>
      <c r="G791" s="208"/>
      <c r="H791" s="209"/>
      <c r="I791" s="210"/>
      <c r="J791" s="205"/>
    </row>
    <row r="792">
      <c r="A792" s="203"/>
      <c r="B792" s="203"/>
      <c r="C792" s="204"/>
      <c r="D792" s="205"/>
      <c r="E792" s="206"/>
      <c r="F792" s="207"/>
      <c r="G792" s="208"/>
      <c r="H792" s="209"/>
      <c r="I792" s="210"/>
      <c r="J792" s="205"/>
    </row>
    <row r="793">
      <c r="A793" s="203"/>
      <c r="B793" s="203"/>
      <c r="C793" s="204"/>
      <c r="D793" s="205"/>
      <c r="E793" s="206"/>
      <c r="F793" s="207"/>
      <c r="G793" s="208"/>
      <c r="H793" s="209"/>
      <c r="I793" s="210"/>
      <c r="J793" s="205"/>
    </row>
    <row r="794">
      <c r="A794" s="203"/>
      <c r="B794" s="203"/>
      <c r="C794" s="204"/>
      <c r="D794" s="205"/>
      <c r="E794" s="206"/>
      <c r="F794" s="207"/>
      <c r="G794" s="208"/>
      <c r="H794" s="209"/>
      <c r="I794" s="210"/>
      <c r="J794" s="205"/>
    </row>
    <row r="795">
      <c r="A795" s="203"/>
      <c r="B795" s="203"/>
      <c r="C795" s="204"/>
      <c r="D795" s="205"/>
      <c r="E795" s="206"/>
      <c r="F795" s="207"/>
      <c r="G795" s="208"/>
      <c r="H795" s="209"/>
      <c r="I795" s="210"/>
      <c r="J795" s="205"/>
    </row>
    <row r="796">
      <c r="A796" s="203"/>
      <c r="B796" s="203"/>
      <c r="C796" s="204"/>
      <c r="D796" s="205"/>
      <c r="E796" s="206"/>
      <c r="F796" s="207"/>
      <c r="G796" s="208"/>
      <c r="H796" s="209"/>
      <c r="I796" s="210"/>
      <c r="J796" s="205"/>
    </row>
    <row r="797">
      <c r="A797" s="203"/>
      <c r="B797" s="203"/>
      <c r="C797" s="204"/>
      <c r="D797" s="205"/>
      <c r="E797" s="206"/>
      <c r="F797" s="207"/>
      <c r="G797" s="208"/>
      <c r="H797" s="209"/>
      <c r="I797" s="210"/>
      <c r="J797" s="205"/>
    </row>
    <row r="798">
      <c r="A798" s="203"/>
      <c r="B798" s="203"/>
      <c r="C798" s="204"/>
      <c r="D798" s="205"/>
      <c r="E798" s="206"/>
      <c r="F798" s="207"/>
      <c r="G798" s="208"/>
      <c r="H798" s="209"/>
      <c r="I798" s="210"/>
      <c r="J798" s="205"/>
    </row>
    <row r="799">
      <c r="A799" s="203"/>
      <c r="B799" s="203"/>
      <c r="C799" s="204"/>
      <c r="D799" s="205"/>
      <c r="E799" s="206"/>
      <c r="F799" s="207"/>
      <c r="G799" s="208"/>
      <c r="H799" s="209"/>
      <c r="I799" s="210"/>
      <c r="J799" s="205"/>
    </row>
    <row r="800">
      <c r="A800" s="203"/>
      <c r="B800" s="203"/>
      <c r="C800" s="204"/>
      <c r="D800" s="205"/>
      <c r="E800" s="206"/>
      <c r="F800" s="207"/>
      <c r="G800" s="208"/>
      <c r="H800" s="209"/>
      <c r="I800" s="210"/>
      <c r="J800" s="205"/>
    </row>
    <row r="801">
      <c r="A801" s="203"/>
      <c r="B801" s="203"/>
      <c r="C801" s="204"/>
      <c r="D801" s="205"/>
      <c r="E801" s="206"/>
      <c r="F801" s="207"/>
      <c r="G801" s="208"/>
      <c r="H801" s="209"/>
      <c r="I801" s="210"/>
      <c r="J801" s="205"/>
    </row>
    <row r="802">
      <c r="A802" s="203"/>
      <c r="B802" s="203"/>
      <c r="C802" s="204"/>
      <c r="D802" s="205"/>
      <c r="E802" s="206"/>
      <c r="F802" s="207"/>
      <c r="G802" s="208"/>
      <c r="H802" s="209"/>
      <c r="I802" s="210"/>
      <c r="J802" s="205"/>
    </row>
    <row r="803">
      <c r="A803" s="203"/>
      <c r="B803" s="203"/>
      <c r="C803" s="204"/>
      <c r="D803" s="205"/>
      <c r="E803" s="206"/>
      <c r="F803" s="207"/>
      <c r="G803" s="208"/>
      <c r="H803" s="209"/>
      <c r="I803" s="210"/>
      <c r="J803" s="205"/>
    </row>
    <row r="804">
      <c r="A804" s="203"/>
      <c r="B804" s="203"/>
      <c r="C804" s="204"/>
      <c r="D804" s="205"/>
      <c r="E804" s="206"/>
      <c r="F804" s="207"/>
      <c r="G804" s="208"/>
      <c r="H804" s="209"/>
      <c r="I804" s="210"/>
      <c r="J804" s="205"/>
    </row>
    <row r="805">
      <c r="A805" s="203"/>
      <c r="B805" s="203"/>
      <c r="C805" s="204"/>
      <c r="D805" s="205"/>
      <c r="E805" s="206"/>
      <c r="F805" s="207"/>
      <c r="G805" s="208"/>
      <c r="H805" s="209"/>
      <c r="I805" s="210"/>
      <c r="J805" s="205"/>
    </row>
    <row r="806">
      <c r="A806" s="203"/>
      <c r="B806" s="203"/>
      <c r="C806" s="204"/>
      <c r="D806" s="205"/>
      <c r="E806" s="206"/>
      <c r="F806" s="207"/>
      <c r="G806" s="208"/>
      <c r="H806" s="209"/>
      <c r="I806" s="210"/>
      <c r="J806" s="205"/>
    </row>
    <row r="807">
      <c r="A807" s="203"/>
      <c r="B807" s="203"/>
      <c r="C807" s="204"/>
      <c r="D807" s="205"/>
      <c r="E807" s="206"/>
      <c r="F807" s="207"/>
      <c r="G807" s="208"/>
      <c r="H807" s="209"/>
      <c r="I807" s="210"/>
      <c r="J807" s="205"/>
    </row>
    <row r="808">
      <c r="A808" s="203"/>
      <c r="B808" s="203"/>
      <c r="C808" s="204"/>
      <c r="D808" s="205"/>
      <c r="E808" s="206"/>
      <c r="F808" s="207"/>
      <c r="G808" s="208"/>
      <c r="H808" s="209"/>
      <c r="I808" s="210"/>
      <c r="J808" s="205"/>
    </row>
    <row r="809">
      <c r="A809" s="203"/>
      <c r="B809" s="203"/>
      <c r="C809" s="204"/>
      <c r="D809" s="205"/>
      <c r="E809" s="206"/>
      <c r="F809" s="207"/>
      <c r="G809" s="208"/>
      <c r="H809" s="209"/>
      <c r="I809" s="210"/>
      <c r="J809" s="205"/>
    </row>
    <row r="810">
      <c r="A810" s="203"/>
      <c r="B810" s="203"/>
      <c r="C810" s="204"/>
      <c r="D810" s="205"/>
      <c r="E810" s="206"/>
      <c r="F810" s="207"/>
      <c r="G810" s="208"/>
      <c r="H810" s="209"/>
      <c r="I810" s="210"/>
      <c r="J810" s="205"/>
    </row>
    <row r="811">
      <c r="A811" s="203"/>
      <c r="B811" s="203"/>
      <c r="C811" s="204"/>
      <c r="D811" s="205"/>
      <c r="E811" s="206"/>
      <c r="F811" s="207"/>
      <c r="G811" s="208"/>
      <c r="H811" s="209"/>
      <c r="I811" s="210"/>
      <c r="J811" s="205"/>
    </row>
    <row r="812">
      <c r="A812" s="203"/>
      <c r="B812" s="203"/>
      <c r="C812" s="204"/>
      <c r="D812" s="205"/>
      <c r="E812" s="206"/>
      <c r="F812" s="207"/>
      <c r="G812" s="208"/>
      <c r="H812" s="209"/>
      <c r="I812" s="210"/>
      <c r="J812" s="205"/>
    </row>
    <row r="813">
      <c r="A813" s="203"/>
      <c r="B813" s="203"/>
      <c r="C813" s="204"/>
      <c r="D813" s="205"/>
      <c r="E813" s="206"/>
      <c r="F813" s="207"/>
      <c r="G813" s="208"/>
      <c r="H813" s="209"/>
      <c r="I813" s="210"/>
      <c r="J813" s="205"/>
    </row>
    <row r="814">
      <c r="A814" s="203"/>
      <c r="B814" s="203"/>
      <c r="C814" s="204"/>
      <c r="D814" s="205"/>
      <c r="E814" s="206"/>
      <c r="F814" s="207"/>
      <c r="G814" s="208"/>
      <c r="H814" s="209"/>
      <c r="I814" s="210"/>
      <c r="J814" s="205"/>
    </row>
    <row r="815">
      <c r="A815" s="203"/>
      <c r="B815" s="203"/>
      <c r="C815" s="204"/>
      <c r="D815" s="205"/>
      <c r="E815" s="206"/>
      <c r="F815" s="207"/>
      <c r="G815" s="208"/>
      <c r="H815" s="209"/>
      <c r="I815" s="210"/>
      <c r="J815" s="205"/>
    </row>
    <row r="816">
      <c r="A816" s="203"/>
      <c r="B816" s="203"/>
      <c r="C816" s="204"/>
      <c r="D816" s="205"/>
      <c r="E816" s="206"/>
      <c r="F816" s="207"/>
      <c r="G816" s="208"/>
      <c r="H816" s="209"/>
      <c r="I816" s="210"/>
      <c r="J816" s="205"/>
    </row>
    <row r="817">
      <c r="A817" s="203"/>
      <c r="B817" s="203"/>
      <c r="C817" s="204"/>
      <c r="D817" s="205"/>
      <c r="E817" s="206"/>
      <c r="F817" s="207"/>
      <c r="G817" s="208"/>
      <c r="H817" s="209"/>
      <c r="I817" s="210"/>
      <c r="J817" s="205"/>
    </row>
    <row r="818">
      <c r="A818" s="203"/>
      <c r="B818" s="203"/>
      <c r="C818" s="204"/>
      <c r="D818" s="205"/>
      <c r="E818" s="206"/>
      <c r="F818" s="207"/>
      <c r="G818" s="208"/>
      <c r="H818" s="209"/>
      <c r="I818" s="210"/>
      <c r="J818" s="205"/>
    </row>
    <row r="819">
      <c r="A819" s="203"/>
      <c r="B819" s="203"/>
      <c r="C819" s="204"/>
      <c r="D819" s="205"/>
      <c r="E819" s="206"/>
      <c r="F819" s="207"/>
      <c r="G819" s="208"/>
      <c r="H819" s="209"/>
      <c r="I819" s="210"/>
      <c r="J819" s="205"/>
    </row>
    <row r="820">
      <c r="A820" s="203"/>
      <c r="B820" s="203"/>
      <c r="C820" s="204"/>
      <c r="D820" s="205"/>
      <c r="E820" s="206"/>
      <c r="F820" s="207"/>
      <c r="G820" s="208"/>
      <c r="H820" s="209"/>
      <c r="I820" s="210"/>
      <c r="J820" s="205"/>
    </row>
    <row r="821">
      <c r="A821" s="203"/>
      <c r="B821" s="203"/>
      <c r="C821" s="204"/>
      <c r="D821" s="205"/>
      <c r="E821" s="206"/>
      <c r="F821" s="207"/>
      <c r="G821" s="208"/>
      <c r="H821" s="209"/>
      <c r="I821" s="210"/>
      <c r="J821" s="205"/>
    </row>
    <row r="822">
      <c r="A822" s="203"/>
      <c r="B822" s="203"/>
      <c r="C822" s="204"/>
      <c r="D822" s="205"/>
      <c r="E822" s="206"/>
      <c r="F822" s="207"/>
      <c r="G822" s="208"/>
      <c r="H822" s="209"/>
      <c r="I822" s="210"/>
      <c r="J822" s="205"/>
    </row>
    <row r="823">
      <c r="A823" s="203"/>
      <c r="B823" s="203"/>
      <c r="C823" s="204"/>
      <c r="D823" s="205"/>
      <c r="E823" s="206"/>
      <c r="F823" s="207"/>
      <c r="G823" s="208"/>
      <c r="H823" s="209"/>
      <c r="I823" s="210"/>
      <c r="J823" s="205"/>
    </row>
    <row r="824">
      <c r="A824" s="203"/>
      <c r="B824" s="203"/>
      <c r="C824" s="204"/>
      <c r="D824" s="205"/>
      <c r="E824" s="206"/>
      <c r="F824" s="207"/>
      <c r="G824" s="208"/>
      <c r="H824" s="209"/>
      <c r="I824" s="210"/>
      <c r="J824" s="205"/>
    </row>
    <row r="825">
      <c r="A825" s="203"/>
      <c r="B825" s="203"/>
      <c r="C825" s="204"/>
      <c r="D825" s="205"/>
      <c r="E825" s="206"/>
      <c r="F825" s="207"/>
      <c r="G825" s="208"/>
      <c r="H825" s="209"/>
      <c r="I825" s="210"/>
      <c r="J825" s="205"/>
    </row>
    <row r="826">
      <c r="A826" s="203"/>
      <c r="B826" s="203"/>
      <c r="C826" s="204"/>
      <c r="D826" s="205"/>
      <c r="E826" s="206"/>
      <c r="F826" s="207"/>
      <c r="G826" s="208"/>
      <c r="H826" s="209"/>
      <c r="I826" s="210"/>
      <c r="J826" s="205"/>
    </row>
    <row r="827">
      <c r="A827" s="203"/>
      <c r="B827" s="203"/>
      <c r="C827" s="204"/>
      <c r="D827" s="205"/>
      <c r="E827" s="206"/>
      <c r="F827" s="207"/>
      <c r="G827" s="208"/>
      <c r="H827" s="209"/>
      <c r="I827" s="210"/>
      <c r="J827" s="205"/>
    </row>
    <row r="828">
      <c r="A828" s="203"/>
      <c r="B828" s="203"/>
      <c r="C828" s="204"/>
      <c r="D828" s="205"/>
      <c r="E828" s="206"/>
      <c r="F828" s="207"/>
      <c r="G828" s="208"/>
      <c r="H828" s="209"/>
      <c r="I828" s="210"/>
      <c r="J828" s="205"/>
    </row>
    <row r="829">
      <c r="A829" s="203"/>
      <c r="B829" s="203"/>
      <c r="C829" s="204"/>
      <c r="D829" s="205"/>
      <c r="E829" s="206"/>
      <c r="F829" s="207"/>
      <c r="G829" s="208"/>
      <c r="H829" s="209"/>
      <c r="I829" s="210"/>
      <c r="J829" s="205"/>
    </row>
    <row r="830">
      <c r="A830" s="203"/>
      <c r="B830" s="203"/>
      <c r="C830" s="204"/>
      <c r="D830" s="205"/>
      <c r="E830" s="206"/>
      <c r="F830" s="207"/>
      <c r="G830" s="208"/>
      <c r="H830" s="209"/>
      <c r="I830" s="210"/>
      <c r="J830" s="205"/>
    </row>
    <row r="831">
      <c r="A831" s="203"/>
      <c r="B831" s="203"/>
      <c r="C831" s="204"/>
      <c r="D831" s="205"/>
      <c r="E831" s="206"/>
      <c r="F831" s="207"/>
      <c r="G831" s="208"/>
      <c r="H831" s="209"/>
      <c r="I831" s="210"/>
      <c r="J831" s="205"/>
    </row>
    <row r="832">
      <c r="A832" s="203"/>
      <c r="B832" s="203"/>
      <c r="C832" s="204"/>
      <c r="D832" s="205"/>
      <c r="E832" s="206"/>
      <c r="F832" s="207"/>
      <c r="G832" s="208"/>
      <c r="H832" s="209"/>
      <c r="I832" s="210"/>
      <c r="J832" s="205"/>
    </row>
    <row r="833">
      <c r="A833" s="203"/>
      <c r="B833" s="203"/>
      <c r="C833" s="204"/>
      <c r="D833" s="205"/>
      <c r="E833" s="206"/>
      <c r="F833" s="207"/>
      <c r="G833" s="208"/>
      <c r="H833" s="209"/>
      <c r="I833" s="210"/>
      <c r="J833" s="205"/>
    </row>
    <row r="834">
      <c r="A834" s="203"/>
      <c r="B834" s="203"/>
      <c r="C834" s="204"/>
      <c r="D834" s="205"/>
      <c r="E834" s="206"/>
      <c r="F834" s="207"/>
      <c r="G834" s="208"/>
      <c r="H834" s="209"/>
      <c r="I834" s="210"/>
      <c r="J834" s="205"/>
    </row>
    <row r="835">
      <c r="A835" s="203"/>
      <c r="B835" s="203"/>
      <c r="C835" s="204"/>
      <c r="D835" s="205"/>
      <c r="E835" s="206"/>
      <c r="F835" s="207"/>
      <c r="G835" s="208"/>
      <c r="H835" s="209"/>
      <c r="I835" s="210"/>
      <c r="J835" s="205"/>
    </row>
    <row r="836">
      <c r="A836" s="203"/>
      <c r="B836" s="203"/>
      <c r="C836" s="204"/>
      <c r="D836" s="205"/>
      <c r="E836" s="206"/>
      <c r="F836" s="207"/>
      <c r="G836" s="208"/>
      <c r="H836" s="209"/>
      <c r="I836" s="210"/>
      <c r="J836" s="205"/>
    </row>
    <row r="837">
      <c r="A837" s="203"/>
      <c r="B837" s="203"/>
      <c r="C837" s="204"/>
      <c r="D837" s="205"/>
      <c r="E837" s="206"/>
      <c r="F837" s="207"/>
      <c r="G837" s="208"/>
      <c r="H837" s="209"/>
      <c r="I837" s="210"/>
      <c r="J837" s="205"/>
    </row>
    <row r="838">
      <c r="A838" s="203"/>
      <c r="B838" s="203"/>
      <c r="C838" s="204"/>
      <c r="D838" s="205"/>
      <c r="E838" s="206"/>
      <c r="F838" s="207"/>
      <c r="G838" s="208"/>
      <c r="H838" s="209"/>
      <c r="I838" s="210"/>
      <c r="J838" s="205"/>
    </row>
    <row r="839">
      <c r="A839" s="203"/>
      <c r="B839" s="203"/>
      <c r="C839" s="204"/>
      <c r="D839" s="205"/>
      <c r="E839" s="206"/>
      <c r="F839" s="207"/>
      <c r="G839" s="208"/>
      <c r="H839" s="209"/>
      <c r="I839" s="210"/>
      <c r="J839" s="205"/>
    </row>
    <row r="840">
      <c r="A840" s="203"/>
      <c r="B840" s="203"/>
      <c r="C840" s="204"/>
      <c r="D840" s="205"/>
      <c r="E840" s="206"/>
      <c r="F840" s="207"/>
      <c r="G840" s="208"/>
      <c r="H840" s="209"/>
      <c r="I840" s="210"/>
      <c r="J840" s="205"/>
    </row>
    <row r="841">
      <c r="A841" s="203"/>
      <c r="B841" s="203"/>
      <c r="C841" s="204"/>
      <c r="D841" s="205"/>
      <c r="E841" s="206"/>
      <c r="F841" s="207"/>
      <c r="G841" s="208"/>
      <c r="H841" s="209"/>
      <c r="I841" s="210"/>
      <c r="J841" s="205"/>
    </row>
    <row r="842">
      <c r="A842" s="203"/>
      <c r="B842" s="203"/>
      <c r="C842" s="204"/>
      <c r="D842" s="205"/>
      <c r="E842" s="206"/>
      <c r="F842" s="207"/>
      <c r="G842" s="208"/>
      <c r="H842" s="209"/>
      <c r="I842" s="210"/>
      <c r="J842" s="205"/>
    </row>
    <row r="843">
      <c r="A843" s="203"/>
      <c r="B843" s="203"/>
      <c r="C843" s="204"/>
      <c r="D843" s="205"/>
      <c r="E843" s="206"/>
      <c r="F843" s="207"/>
      <c r="G843" s="208"/>
      <c r="H843" s="209"/>
      <c r="I843" s="210"/>
      <c r="J843" s="205"/>
    </row>
    <row r="844">
      <c r="A844" s="203"/>
      <c r="B844" s="203"/>
      <c r="C844" s="204"/>
      <c r="D844" s="205"/>
      <c r="E844" s="206"/>
      <c r="F844" s="207"/>
      <c r="G844" s="208"/>
      <c r="H844" s="209"/>
      <c r="I844" s="210"/>
      <c r="J844" s="205"/>
    </row>
    <row r="845">
      <c r="A845" s="203"/>
      <c r="B845" s="203"/>
      <c r="C845" s="204"/>
      <c r="D845" s="205"/>
      <c r="E845" s="206"/>
      <c r="F845" s="207"/>
      <c r="G845" s="208"/>
      <c r="H845" s="209"/>
      <c r="I845" s="210"/>
      <c r="J845" s="205"/>
    </row>
    <row r="846">
      <c r="A846" s="203"/>
      <c r="B846" s="203"/>
      <c r="C846" s="204"/>
      <c r="D846" s="205"/>
      <c r="E846" s="206"/>
      <c r="F846" s="207"/>
      <c r="G846" s="208"/>
      <c r="H846" s="209"/>
      <c r="I846" s="210"/>
      <c r="J846" s="205"/>
    </row>
    <row r="847">
      <c r="A847" s="203"/>
      <c r="B847" s="203"/>
      <c r="C847" s="204"/>
      <c r="D847" s="205"/>
      <c r="E847" s="206"/>
      <c r="F847" s="207"/>
      <c r="G847" s="208"/>
      <c r="H847" s="209"/>
      <c r="I847" s="210"/>
      <c r="J847" s="205"/>
    </row>
    <row r="848">
      <c r="A848" s="203"/>
      <c r="B848" s="203"/>
      <c r="C848" s="204"/>
      <c r="D848" s="205"/>
      <c r="E848" s="206"/>
      <c r="F848" s="207"/>
      <c r="G848" s="208"/>
      <c r="H848" s="209"/>
      <c r="I848" s="210"/>
      <c r="J848" s="205"/>
    </row>
    <row r="849">
      <c r="A849" s="203"/>
      <c r="B849" s="203"/>
      <c r="C849" s="204"/>
      <c r="D849" s="205"/>
      <c r="E849" s="206"/>
      <c r="F849" s="207"/>
      <c r="G849" s="208"/>
      <c r="H849" s="209"/>
      <c r="I849" s="210"/>
      <c r="J849" s="205"/>
    </row>
    <row r="850">
      <c r="A850" s="203"/>
      <c r="B850" s="203"/>
      <c r="C850" s="204"/>
      <c r="D850" s="205"/>
      <c r="E850" s="206"/>
      <c r="F850" s="207"/>
      <c r="G850" s="208"/>
      <c r="H850" s="209"/>
      <c r="I850" s="210"/>
      <c r="J850" s="205"/>
    </row>
    <row r="851">
      <c r="A851" s="203"/>
      <c r="B851" s="203"/>
      <c r="C851" s="204"/>
      <c r="D851" s="205"/>
      <c r="E851" s="206"/>
      <c r="F851" s="207"/>
      <c r="G851" s="208"/>
      <c r="H851" s="209"/>
      <c r="I851" s="210"/>
      <c r="J851" s="205"/>
    </row>
    <row r="852">
      <c r="A852" s="203"/>
      <c r="B852" s="203"/>
      <c r="C852" s="204"/>
      <c r="D852" s="205"/>
      <c r="E852" s="206"/>
      <c r="F852" s="207"/>
      <c r="G852" s="208"/>
      <c r="H852" s="209"/>
      <c r="I852" s="210"/>
      <c r="J852" s="205"/>
    </row>
    <row r="853">
      <c r="A853" s="203"/>
      <c r="B853" s="203"/>
      <c r="C853" s="204"/>
      <c r="D853" s="205"/>
      <c r="E853" s="206"/>
      <c r="F853" s="207"/>
      <c r="G853" s="208"/>
      <c r="H853" s="209"/>
      <c r="I853" s="210"/>
      <c r="J853" s="205"/>
    </row>
    <row r="854">
      <c r="A854" s="203"/>
      <c r="B854" s="203"/>
      <c r="C854" s="204"/>
      <c r="D854" s="205"/>
      <c r="E854" s="206"/>
      <c r="F854" s="207"/>
      <c r="G854" s="208"/>
      <c r="H854" s="209"/>
      <c r="I854" s="210"/>
      <c r="J854" s="205"/>
    </row>
    <row r="855">
      <c r="A855" s="203"/>
      <c r="B855" s="203"/>
      <c r="C855" s="204"/>
      <c r="D855" s="205"/>
      <c r="E855" s="206"/>
      <c r="F855" s="207"/>
      <c r="G855" s="208"/>
      <c r="H855" s="209"/>
      <c r="I855" s="210"/>
      <c r="J855" s="205"/>
    </row>
    <row r="856">
      <c r="A856" s="203"/>
      <c r="B856" s="203"/>
      <c r="C856" s="204"/>
      <c r="D856" s="205"/>
      <c r="E856" s="206"/>
      <c r="F856" s="207"/>
      <c r="G856" s="208"/>
      <c r="H856" s="209"/>
      <c r="I856" s="210"/>
      <c r="J856" s="205"/>
    </row>
    <row r="857">
      <c r="A857" s="203"/>
      <c r="B857" s="203"/>
      <c r="C857" s="204"/>
      <c r="D857" s="205"/>
      <c r="E857" s="206"/>
      <c r="F857" s="207"/>
      <c r="G857" s="208"/>
      <c r="H857" s="209"/>
      <c r="I857" s="210"/>
      <c r="J857" s="205"/>
    </row>
    <row r="858">
      <c r="A858" s="203"/>
      <c r="B858" s="203"/>
      <c r="C858" s="204"/>
      <c r="D858" s="205"/>
      <c r="E858" s="206"/>
      <c r="F858" s="207"/>
      <c r="G858" s="208"/>
      <c r="H858" s="209"/>
      <c r="I858" s="210"/>
      <c r="J858" s="205"/>
    </row>
    <row r="859">
      <c r="A859" s="203"/>
      <c r="B859" s="203"/>
      <c r="C859" s="204"/>
      <c r="D859" s="205"/>
      <c r="E859" s="206"/>
      <c r="F859" s="207"/>
      <c r="G859" s="208"/>
      <c r="H859" s="209"/>
      <c r="I859" s="210"/>
      <c r="J859" s="205"/>
    </row>
    <row r="860">
      <c r="A860" s="203"/>
      <c r="B860" s="203"/>
      <c r="C860" s="204"/>
      <c r="D860" s="205"/>
      <c r="E860" s="206"/>
      <c r="F860" s="207"/>
      <c r="G860" s="208"/>
      <c r="H860" s="209"/>
      <c r="I860" s="210"/>
      <c r="J860" s="205"/>
    </row>
    <row r="861">
      <c r="A861" s="203"/>
      <c r="B861" s="203"/>
      <c r="C861" s="204"/>
      <c r="D861" s="205"/>
      <c r="E861" s="206"/>
      <c r="F861" s="207"/>
      <c r="G861" s="208"/>
      <c r="H861" s="209"/>
      <c r="I861" s="210"/>
      <c r="J861" s="205"/>
    </row>
    <row r="862">
      <c r="A862" s="203"/>
      <c r="B862" s="203"/>
      <c r="C862" s="204"/>
      <c r="D862" s="205"/>
      <c r="E862" s="206"/>
      <c r="F862" s="207"/>
      <c r="G862" s="208"/>
      <c r="H862" s="209"/>
      <c r="I862" s="210"/>
      <c r="J862" s="205"/>
    </row>
    <row r="863">
      <c r="A863" s="203"/>
      <c r="B863" s="203"/>
      <c r="C863" s="204"/>
      <c r="D863" s="205"/>
      <c r="E863" s="206"/>
      <c r="F863" s="207"/>
      <c r="G863" s="208"/>
      <c r="H863" s="209"/>
      <c r="I863" s="210"/>
      <c r="J863" s="205"/>
    </row>
    <row r="864">
      <c r="A864" s="203"/>
      <c r="B864" s="203"/>
      <c r="C864" s="204"/>
      <c r="D864" s="205"/>
      <c r="E864" s="206"/>
      <c r="F864" s="207"/>
      <c r="G864" s="208"/>
      <c r="H864" s="209"/>
      <c r="I864" s="210"/>
      <c r="J864" s="205"/>
    </row>
    <row r="865">
      <c r="A865" s="203"/>
      <c r="B865" s="203"/>
      <c r="C865" s="204"/>
      <c r="D865" s="205"/>
      <c r="E865" s="206"/>
      <c r="F865" s="207"/>
      <c r="G865" s="208"/>
      <c r="H865" s="209"/>
      <c r="I865" s="210"/>
      <c r="J865" s="205"/>
    </row>
    <row r="866">
      <c r="A866" s="203"/>
      <c r="B866" s="203"/>
      <c r="C866" s="204"/>
      <c r="D866" s="205"/>
      <c r="E866" s="206"/>
      <c r="F866" s="207"/>
      <c r="G866" s="208"/>
      <c r="H866" s="209"/>
      <c r="I866" s="210"/>
      <c r="J866" s="205"/>
    </row>
    <row r="867">
      <c r="A867" s="203"/>
      <c r="B867" s="203"/>
      <c r="C867" s="204"/>
      <c r="D867" s="205"/>
      <c r="E867" s="206"/>
      <c r="F867" s="207"/>
      <c r="G867" s="208"/>
      <c r="H867" s="209"/>
      <c r="I867" s="210"/>
      <c r="J867" s="205"/>
    </row>
    <row r="868">
      <c r="A868" s="203"/>
      <c r="B868" s="203"/>
      <c r="C868" s="204"/>
      <c r="D868" s="205"/>
      <c r="E868" s="206"/>
      <c r="F868" s="207"/>
      <c r="G868" s="208"/>
      <c r="H868" s="209"/>
      <c r="I868" s="210"/>
      <c r="J868" s="205"/>
    </row>
    <row r="869">
      <c r="A869" s="203"/>
      <c r="B869" s="203"/>
      <c r="C869" s="204"/>
      <c r="D869" s="205"/>
      <c r="E869" s="206"/>
      <c r="F869" s="207"/>
      <c r="G869" s="208"/>
      <c r="H869" s="209"/>
      <c r="I869" s="210"/>
      <c r="J869" s="205"/>
    </row>
    <row r="870">
      <c r="A870" s="203"/>
      <c r="B870" s="203"/>
      <c r="C870" s="204"/>
      <c r="D870" s="205"/>
      <c r="E870" s="206"/>
      <c r="F870" s="207"/>
      <c r="G870" s="208"/>
      <c r="H870" s="209"/>
      <c r="I870" s="210"/>
      <c r="J870" s="205"/>
    </row>
    <row r="871">
      <c r="A871" s="203"/>
      <c r="B871" s="203"/>
      <c r="C871" s="204"/>
      <c r="D871" s="205"/>
      <c r="E871" s="206"/>
      <c r="F871" s="207"/>
      <c r="G871" s="208"/>
      <c r="H871" s="209"/>
      <c r="I871" s="210"/>
      <c r="J871" s="205"/>
    </row>
    <row r="872">
      <c r="A872" s="203"/>
      <c r="B872" s="203"/>
      <c r="C872" s="204"/>
      <c r="D872" s="205"/>
      <c r="E872" s="206"/>
      <c r="F872" s="207"/>
      <c r="G872" s="208"/>
      <c r="H872" s="209"/>
      <c r="I872" s="210"/>
      <c r="J872" s="205"/>
    </row>
    <row r="873">
      <c r="A873" s="203"/>
      <c r="B873" s="203"/>
      <c r="C873" s="204"/>
      <c r="D873" s="205"/>
      <c r="E873" s="206"/>
      <c r="F873" s="207"/>
      <c r="G873" s="208"/>
      <c r="H873" s="209"/>
      <c r="I873" s="210"/>
      <c r="J873" s="205"/>
    </row>
    <row r="874">
      <c r="A874" s="203"/>
      <c r="B874" s="203"/>
      <c r="C874" s="204"/>
      <c r="D874" s="205"/>
      <c r="E874" s="206"/>
      <c r="F874" s="207"/>
      <c r="G874" s="208"/>
      <c r="H874" s="209"/>
      <c r="I874" s="210"/>
      <c r="J874" s="205"/>
    </row>
    <row r="875">
      <c r="A875" s="203"/>
      <c r="B875" s="203"/>
      <c r="C875" s="204"/>
      <c r="D875" s="205"/>
      <c r="E875" s="206"/>
      <c r="F875" s="207"/>
      <c r="G875" s="208"/>
      <c r="H875" s="209"/>
      <c r="I875" s="210"/>
      <c r="J875" s="205"/>
    </row>
    <row r="876">
      <c r="A876" s="203"/>
      <c r="B876" s="203"/>
      <c r="C876" s="204"/>
      <c r="D876" s="205"/>
      <c r="E876" s="206"/>
      <c r="F876" s="207"/>
      <c r="G876" s="208"/>
      <c r="H876" s="209"/>
      <c r="I876" s="210"/>
      <c r="J876" s="205"/>
    </row>
    <row r="877">
      <c r="A877" s="203"/>
      <c r="B877" s="203"/>
      <c r="C877" s="204"/>
      <c r="D877" s="205"/>
      <c r="E877" s="206"/>
      <c r="F877" s="207"/>
      <c r="G877" s="208"/>
      <c r="H877" s="209"/>
      <c r="I877" s="210"/>
      <c r="J877" s="205"/>
    </row>
    <row r="878">
      <c r="A878" s="203"/>
      <c r="B878" s="203"/>
      <c r="C878" s="204"/>
      <c r="D878" s="205"/>
      <c r="E878" s="206"/>
      <c r="F878" s="207"/>
      <c r="G878" s="208"/>
      <c r="H878" s="209"/>
      <c r="I878" s="210"/>
      <c r="J878" s="205"/>
    </row>
    <row r="879">
      <c r="A879" s="203"/>
      <c r="B879" s="203"/>
      <c r="C879" s="204"/>
      <c r="D879" s="205"/>
      <c r="E879" s="206"/>
      <c r="F879" s="207"/>
      <c r="G879" s="208"/>
      <c r="H879" s="209"/>
      <c r="I879" s="210"/>
      <c r="J879" s="205"/>
    </row>
    <row r="880">
      <c r="A880" s="203"/>
      <c r="B880" s="203"/>
      <c r="C880" s="204"/>
      <c r="D880" s="205"/>
      <c r="E880" s="206"/>
      <c r="F880" s="207"/>
      <c r="G880" s="208"/>
      <c r="H880" s="209"/>
      <c r="I880" s="210"/>
      <c r="J880" s="205"/>
    </row>
    <row r="881">
      <c r="A881" s="203"/>
      <c r="B881" s="203"/>
      <c r="C881" s="204"/>
      <c r="D881" s="205"/>
      <c r="E881" s="206"/>
      <c r="F881" s="207"/>
      <c r="G881" s="208"/>
      <c r="H881" s="209"/>
      <c r="I881" s="210"/>
      <c r="J881" s="205"/>
    </row>
    <row r="882">
      <c r="A882" s="203"/>
      <c r="B882" s="203"/>
      <c r="C882" s="204"/>
      <c r="D882" s="205"/>
      <c r="E882" s="206"/>
      <c r="F882" s="207"/>
      <c r="G882" s="208"/>
      <c r="H882" s="209"/>
      <c r="I882" s="210"/>
      <c r="J882" s="205"/>
    </row>
    <row r="883">
      <c r="A883" s="203"/>
      <c r="B883" s="203"/>
      <c r="C883" s="204"/>
      <c r="D883" s="205"/>
      <c r="E883" s="206"/>
      <c r="F883" s="207"/>
      <c r="G883" s="208"/>
      <c r="H883" s="209"/>
      <c r="I883" s="210"/>
      <c r="J883" s="205"/>
    </row>
    <row r="884">
      <c r="A884" s="203"/>
      <c r="B884" s="203"/>
      <c r="C884" s="204"/>
      <c r="D884" s="205"/>
      <c r="E884" s="206"/>
      <c r="F884" s="207"/>
      <c r="G884" s="208"/>
      <c r="H884" s="209"/>
      <c r="I884" s="210"/>
      <c r="J884" s="205"/>
    </row>
    <row r="885">
      <c r="A885" s="203"/>
      <c r="B885" s="203"/>
      <c r="C885" s="204"/>
      <c r="D885" s="205"/>
      <c r="E885" s="206"/>
      <c r="F885" s="207"/>
      <c r="G885" s="208"/>
      <c r="H885" s="209"/>
      <c r="I885" s="210"/>
      <c r="J885" s="205"/>
    </row>
    <row r="886">
      <c r="A886" s="203"/>
      <c r="B886" s="203"/>
      <c r="C886" s="204"/>
      <c r="D886" s="205"/>
      <c r="E886" s="206"/>
      <c r="F886" s="207"/>
      <c r="G886" s="208"/>
      <c r="H886" s="209"/>
      <c r="I886" s="210"/>
      <c r="J886" s="205"/>
    </row>
    <row r="887">
      <c r="A887" s="203"/>
      <c r="B887" s="203"/>
      <c r="C887" s="204"/>
      <c r="D887" s="205"/>
      <c r="E887" s="206"/>
      <c r="F887" s="207"/>
      <c r="G887" s="208"/>
      <c r="H887" s="209"/>
      <c r="I887" s="210"/>
      <c r="J887" s="205"/>
    </row>
    <row r="888">
      <c r="A888" s="203"/>
      <c r="B888" s="203"/>
      <c r="C888" s="204"/>
      <c r="D888" s="205"/>
      <c r="E888" s="206"/>
      <c r="F888" s="207"/>
      <c r="G888" s="208"/>
      <c r="H888" s="209"/>
      <c r="I888" s="210"/>
      <c r="J888" s="205"/>
    </row>
    <row r="889">
      <c r="A889" s="203"/>
      <c r="B889" s="203"/>
      <c r="C889" s="204"/>
      <c r="D889" s="205"/>
      <c r="E889" s="206"/>
      <c r="F889" s="207"/>
      <c r="G889" s="208"/>
      <c r="H889" s="209"/>
      <c r="I889" s="210"/>
      <c r="J889" s="205"/>
    </row>
    <row r="890">
      <c r="A890" s="203"/>
      <c r="B890" s="203"/>
      <c r="C890" s="204"/>
      <c r="D890" s="205"/>
      <c r="E890" s="206"/>
      <c r="F890" s="207"/>
      <c r="G890" s="208"/>
      <c r="H890" s="209"/>
      <c r="I890" s="210"/>
      <c r="J890" s="205"/>
    </row>
    <row r="891">
      <c r="A891" s="203"/>
      <c r="B891" s="203"/>
      <c r="C891" s="204"/>
      <c r="D891" s="205"/>
      <c r="E891" s="206"/>
      <c r="F891" s="207"/>
      <c r="G891" s="208"/>
      <c r="H891" s="209"/>
      <c r="I891" s="210"/>
      <c r="J891" s="205"/>
    </row>
    <row r="892">
      <c r="A892" s="203"/>
      <c r="B892" s="203"/>
      <c r="C892" s="204"/>
      <c r="D892" s="205"/>
      <c r="E892" s="206"/>
      <c r="F892" s="207"/>
      <c r="G892" s="208"/>
      <c r="H892" s="209"/>
      <c r="I892" s="210"/>
      <c r="J892" s="205"/>
    </row>
    <row r="893">
      <c r="A893" s="203"/>
      <c r="B893" s="203"/>
      <c r="C893" s="204"/>
      <c r="D893" s="205"/>
      <c r="E893" s="206"/>
      <c r="F893" s="207"/>
      <c r="G893" s="208"/>
      <c r="H893" s="209"/>
      <c r="I893" s="210"/>
      <c r="J893" s="205"/>
    </row>
    <row r="894">
      <c r="A894" s="203"/>
      <c r="B894" s="203"/>
      <c r="C894" s="204"/>
      <c r="D894" s="205"/>
      <c r="E894" s="206"/>
      <c r="F894" s="207"/>
      <c r="G894" s="208"/>
      <c r="H894" s="209"/>
      <c r="I894" s="210"/>
      <c r="J894" s="205"/>
    </row>
    <row r="895">
      <c r="A895" s="203"/>
      <c r="B895" s="203"/>
      <c r="C895" s="204"/>
      <c r="D895" s="205"/>
      <c r="E895" s="206"/>
      <c r="F895" s="207"/>
      <c r="G895" s="208"/>
      <c r="H895" s="209"/>
      <c r="I895" s="210"/>
      <c r="J895" s="205"/>
    </row>
    <row r="896">
      <c r="A896" s="203"/>
      <c r="B896" s="203"/>
      <c r="C896" s="204"/>
      <c r="D896" s="205"/>
      <c r="E896" s="206"/>
      <c r="F896" s="207"/>
      <c r="G896" s="208"/>
      <c r="H896" s="209"/>
      <c r="I896" s="210"/>
      <c r="J896" s="205"/>
    </row>
    <row r="897">
      <c r="A897" s="203"/>
      <c r="B897" s="203"/>
      <c r="C897" s="204"/>
      <c r="D897" s="205"/>
      <c r="E897" s="206"/>
      <c r="F897" s="207"/>
      <c r="G897" s="208"/>
      <c r="H897" s="209"/>
      <c r="I897" s="210"/>
      <c r="J897" s="205"/>
    </row>
    <row r="898">
      <c r="A898" s="203"/>
      <c r="B898" s="203"/>
      <c r="C898" s="204"/>
      <c r="D898" s="205"/>
      <c r="E898" s="206"/>
      <c r="F898" s="207"/>
      <c r="G898" s="208"/>
      <c r="H898" s="209"/>
      <c r="I898" s="210"/>
      <c r="J898" s="205"/>
    </row>
    <row r="899">
      <c r="A899" s="203"/>
      <c r="B899" s="203"/>
      <c r="C899" s="204"/>
      <c r="D899" s="205"/>
      <c r="E899" s="206"/>
      <c r="F899" s="207"/>
      <c r="G899" s="208"/>
      <c r="H899" s="209"/>
      <c r="I899" s="210"/>
      <c r="J899" s="205"/>
    </row>
    <row r="900">
      <c r="A900" s="203"/>
      <c r="B900" s="203"/>
      <c r="C900" s="204"/>
      <c r="D900" s="205"/>
      <c r="E900" s="206"/>
      <c r="F900" s="207"/>
      <c r="G900" s="208"/>
      <c r="H900" s="209"/>
      <c r="I900" s="210"/>
      <c r="J900" s="205"/>
    </row>
    <row r="901">
      <c r="A901" s="203"/>
      <c r="B901" s="203"/>
      <c r="C901" s="204"/>
      <c r="D901" s="205"/>
      <c r="E901" s="206"/>
      <c r="F901" s="207"/>
      <c r="G901" s="208"/>
      <c r="H901" s="209"/>
      <c r="I901" s="210"/>
      <c r="J901" s="205"/>
    </row>
    <row r="902">
      <c r="A902" s="203"/>
      <c r="B902" s="203"/>
      <c r="C902" s="204"/>
      <c r="D902" s="205"/>
      <c r="E902" s="206"/>
      <c r="F902" s="207"/>
      <c r="G902" s="208"/>
      <c r="H902" s="209"/>
      <c r="I902" s="210"/>
      <c r="J902" s="205"/>
    </row>
    <row r="903">
      <c r="A903" s="203"/>
      <c r="B903" s="203"/>
      <c r="C903" s="204"/>
      <c r="D903" s="205"/>
      <c r="E903" s="206"/>
      <c r="F903" s="207"/>
      <c r="G903" s="208"/>
      <c r="H903" s="209"/>
      <c r="I903" s="210"/>
      <c r="J903" s="205"/>
    </row>
    <row r="904">
      <c r="A904" s="203"/>
      <c r="B904" s="203"/>
      <c r="C904" s="204"/>
      <c r="D904" s="205"/>
      <c r="E904" s="206"/>
      <c r="F904" s="207"/>
      <c r="G904" s="208"/>
      <c r="H904" s="209"/>
      <c r="I904" s="210"/>
      <c r="J904" s="205"/>
    </row>
    <row r="905">
      <c r="A905" s="203"/>
      <c r="B905" s="203"/>
      <c r="C905" s="204"/>
      <c r="D905" s="205"/>
      <c r="E905" s="206"/>
      <c r="F905" s="207"/>
      <c r="G905" s="208"/>
      <c r="H905" s="209"/>
      <c r="I905" s="210"/>
      <c r="J905" s="205"/>
    </row>
    <row r="906">
      <c r="A906" s="203"/>
      <c r="B906" s="203"/>
      <c r="C906" s="204"/>
      <c r="D906" s="205"/>
      <c r="E906" s="206"/>
      <c r="F906" s="207"/>
      <c r="G906" s="208"/>
      <c r="H906" s="209"/>
      <c r="I906" s="210"/>
      <c r="J906" s="205"/>
    </row>
    <row r="907">
      <c r="A907" s="203"/>
      <c r="B907" s="203"/>
      <c r="C907" s="204"/>
      <c r="D907" s="205"/>
      <c r="E907" s="206"/>
      <c r="F907" s="207"/>
      <c r="G907" s="208"/>
      <c r="H907" s="209"/>
      <c r="I907" s="210"/>
      <c r="J907" s="205"/>
    </row>
    <row r="908">
      <c r="A908" s="203"/>
      <c r="B908" s="203"/>
      <c r="C908" s="204"/>
      <c r="D908" s="205"/>
      <c r="E908" s="206"/>
      <c r="F908" s="207"/>
      <c r="G908" s="208"/>
      <c r="H908" s="209"/>
      <c r="I908" s="210"/>
      <c r="J908" s="205"/>
    </row>
    <row r="909">
      <c r="A909" s="203"/>
      <c r="B909" s="203"/>
      <c r="C909" s="204"/>
      <c r="D909" s="205"/>
      <c r="E909" s="206"/>
      <c r="F909" s="207"/>
      <c r="G909" s="208"/>
      <c r="H909" s="209"/>
      <c r="I909" s="210"/>
      <c r="J909" s="205"/>
    </row>
    <row r="910">
      <c r="A910" s="203"/>
      <c r="B910" s="203"/>
      <c r="C910" s="204"/>
      <c r="D910" s="205"/>
      <c r="E910" s="206"/>
      <c r="F910" s="207"/>
      <c r="G910" s="208"/>
      <c r="H910" s="209"/>
      <c r="I910" s="210"/>
      <c r="J910" s="205"/>
    </row>
    <row r="911">
      <c r="A911" s="203"/>
      <c r="B911" s="203"/>
      <c r="C911" s="204"/>
      <c r="D911" s="205"/>
      <c r="E911" s="206"/>
      <c r="F911" s="207"/>
      <c r="G911" s="208"/>
      <c r="H911" s="209"/>
      <c r="I911" s="210"/>
      <c r="J911" s="205"/>
    </row>
    <row r="912">
      <c r="A912" s="203"/>
      <c r="B912" s="203"/>
      <c r="C912" s="204"/>
      <c r="D912" s="205"/>
      <c r="E912" s="206"/>
      <c r="F912" s="207"/>
      <c r="G912" s="208"/>
      <c r="H912" s="209"/>
      <c r="I912" s="210"/>
      <c r="J912" s="205"/>
    </row>
    <row r="913">
      <c r="A913" s="203"/>
      <c r="B913" s="203"/>
      <c r="C913" s="204"/>
      <c r="D913" s="205"/>
      <c r="E913" s="206"/>
      <c r="F913" s="207"/>
      <c r="G913" s="208"/>
      <c r="H913" s="209"/>
      <c r="I913" s="210"/>
      <c r="J913" s="205"/>
    </row>
    <row r="914">
      <c r="A914" s="203"/>
      <c r="B914" s="203"/>
      <c r="C914" s="204"/>
      <c r="D914" s="205"/>
      <c r="E914" s="206"/>
      <c r="F914" s="207"/>
      <c r="G914" s="208"/>
      <c r="H914" s="209"/>
      <c r="I914" s="210"/>
      <c r="J914" s="205"/>
    </row>
    <row r="915">
      <c r="A915" s="203"/>
      <c r="B915" s="203"/>
      <c r="C915" s="204"/>
      <c r="D915" s="205"/>
      <c r="E915" s="206"/>
      <c r="F915" s="207"/>
      <c r="G915" s="208"/>
      <c r="H915" s="209"/>
      <c r="I915" s="210"/>
      <c r="J915" s="205"/>
    </row>
    <row r="916">
      <c r="A916" s="203"/>
      <c r="B916" s="203"/>
      <c r="C916" s="204"/>
      <c r="D916" s="205"/>
      <c r="E916" s="206"/>
      <c r="F916" s="207"/>
      <c r="G916" s="208"/>
      <c r="H916" s="209"/>
      <c r="I916" s="210"/>
      <c r="J916" s="205"/>
    </row>
    <row r="917">
      <c r="A917" s="203"/>
      <c r="B917" s="203"/>
      <c r="C917" s="204"/>
      <c r="D917" s="205"/>
      <c r="E917" s="206"/>
      <c r="F917" s="207"/>
      <c r="G917" s="208"/>
      <c r="H917" s="209"/>
      <c r="I917" s="210"/>
      <c r="J917" s="205"/>
    </row>
    <row r="918">
      <c r="A918" s="203"/>
      <c r="B918" s="203"/>
      <c r="C918" s="204"/>
      <c r="D918" s="205"/>
      <c r="E918" s="206"/>
      <c r="F918" s="207"/>
      <c r="G918" s="208"/>
      <c r="H918" s="209"/>
      <c r="I918" s="210"/>
      <c r="J918" s="205"/>
    </row>
    <row r="919">
      <c r="A919" s="203"/>
      <c r="B919" s="203"/>
      <c r="C919" s="204"/>
      <c r="D919" s="205"/>
      <c r="E919" s="206"/>
      <c r="F919" s="207"/>
      <c r="G919" s="208"/>
      <c r="H919" s="209"/>
      <c r="I919" s="210"/>
      <c r="J919" s="205"/>
    </row>
    <row r="920">
      <c r="A920" s="203"/>
      <c r="B920" s="203"/>
      <c r="C920" s="204"/>
      <c r="D920" s="205"/>
      <c r="E920" s="206"/>
      <c r="F920" s="207"/>
      <c r="G920" s="208"/>
      <c r="H920" s="209"/>
      <c r="I920" s="210"/>
      <c r="J920" s="205"/>
    </row>
    <row r="921">
      <c r="A921" s="203"/>
      <c r="B921" s="203"/>
      <c r="C921" s="204"/>
      <c r="D921" s="205"/>
      <c r="E921" s="206"/>
      <c r="F921" s="207"/>
      <c r="G921" s="208"/>
      <c r="H921" s="209"/>
      <c r="I921" s="210"/>
      <c r="J921" s="205"/>
    </row>
    <row r="922">
      <c r="A922" s="203"/>
      <c r="B922" s="203"/>
      <c r="C922" s="204"/>
      <c r="D922" s="205"/>
      <c r="E922" s="206"/>
      <c r="F922" s="207"/>
      <c r="G922" s="208"/>
      <c r="H922" s="209"/>
      <c r="I922" s="210"/>
      <c r="J922" s="205"/>
    </row>
    <row r="923">
      <c r="A923" s="203"/>
      <c r="B923" s="203"/>
      <c r="C923" s="204"/>
      <c r="D923" s="205"/>
      <c r="E923" s="206"/>
      <c r="F923" s="207"/>
      <c r="G923" s="208"/>
      <c r="H923" s="209"/>
      <c r="I923" s="210"/>
      <c r="J923" s="205"/>
    </row>
    <row r="924">
      <c r="A924" s="203"/>
      <c r="B924" s="203"/>
      <c r="C924" s="204"/>
      <c r="D924" s="205"/>
      <c r="E924" s="206"/>
      <c r="F924" s="207"/>
      <c r="G924" s="208"/>
      <c r="H924" s="209"/>
      <c r="I924" s="210"/>
      <c r="J924" s="205"/>
    </row>
    <row r="925">
      <c r="A925" s="203"/>
      <c r="B925" s="203"/>
      <c r="C925" s="204"/>
      <c r="D925" s="205"/>
      <c r="E925" s="206"/>
      <c r="F925" s="207"/>
      <c r="G925" s="208"/>
      <c r="H925" s="209"/>
      <c r="I925" s="210"/>
      <c r="J925" s="205"/>
    </row>
    <row r="926">
      <c r="A926" s="203"/>
      <c r="B926" s="203"/>
      <c r="C926" s="204"/>
      <c r="D926" s="205"/>
      <c r="E926" s="206"/>
      <c r="F926" s="207"/>
      <c r="G926" s="208"/>
      <c r="H926" s="209"/>
      <c r="I926" s="210"/>
      <c r="J926" s="205"/>
    </row>
    <row r="927">
      <c r="A927" s="203"/>
      <c r="B927" s="203"/>
      <c r="C927" s="204"/>
      <c r="D927" s="205"/>
      <c r="E927" s="206"/>
      <c r="F927" s="207"/>
      <c r="G927" s="208"/>
      <c r="H927" s="209"/>
      <c r="I927" s="210"/>
      <c r="J927" s="205"/>
    </row>
    <row r="928">
      <c r="A928" s="203"/>
      <c r="B928" s="203"/>
      <c r="C928" s="204"/>
      <c r="D928" s="205"/>
      <c r="E928" s="206"/>
      <c r="F928" s="207"/>
      <c r="G928" s="208"/>
      <c r="H928" s="209"/>
      <c r="I928" s="210"/>
      <c r="J928" s="205"/>
    </row>
    <row r="929">
      <c r="A929" s="203"/>
      <c r="B929" s="203"/>
      <c r="C929" s="204"/>
      <c r="D929" s="205"/>
      <c r="E929" s="206"/>
      <c r="F929" s="207"/>
      <c r="G929" s="208"/>
      <c r="H929" s="209"/>
      <c r="I929" s="210"/>
      <c r="J929" s="205"/>
    </row>
    <row r="930">
      <c r="A930" s="203"/>
      <c r="B930" s="203"/>
      <c r="C930" s="204"/>
      <c r="D930" s="205"/>
      <c r="E930" s="206"/>
      <c r="F930" s="207"/>
      <c r="G930" s="208"/>
      <c r="H930" s="209"/>
      <c r="I930" s="210"/>
      <c r="J930" s="205"/>
    </row>
    <row r="931">
      <c r="A931" s="203"/>
      <c r="B931" s="203"/>
      <c r="C931" s="204"/>
      <c r="D931" s="205"/>
      <c r="E931" s="206"/>
      <c r="F931" s="207"/>
      <c r="G931" s="208"/>
      <c r="H931" s="209"/>
      <c r="I931" s="210"/>
      <c r="J931" s="205"/>
    </row>
    <row r="932">
      <c r="A932" s="203"/>
      <c r="B932" s="203"/>
      <c r="C932" s="204"/>
      <c r="D932" s="205"/>
      <c r="E932" s="206"/>
      <c r="F932" s="207"/>
      <c r="G932" s="208"/>
      <c r="H932" s="209"/>
      <c r="I932" s="210"/>
      <c r="J932" s="205"/>
    </row>
    <row r="933">
      <c r="A933" s="203"/>
      <c r="B933" s="203"/>
      <c r="C933" s="204"/>
      <c r="D933" s="205"/>
      <c r="E933" s="206"/>
      <c r="F933" s="207"/>
      <c r="G933" s="208"/>
      <c r="H933" s="209"/>
      <c r="I933" s="210"/>
      <c r="J933" s="205"/>
    </row>
    <row r="934">
      <c r="A934" s="203"/>
      <c r="B934" s="203"/>
      <c r="C934" s="204"/>
      <c r="D934" s="205"/>
      <c r="E934" s="206"/>
      <c r="F934" s="207"/>
      <c r="G934" s="208"/>
      <c r="H934" s="209"/>
      <c r="I934" s="210"/>
      <c r="J934" s="205"/>
    </row>
    <row r="935">
      <c r="A935" s="203"/>
      <c r="B935" s="203"/>
      <c r="C935" s="204"/>
      <c r="D935" s="205"/>
      <c r="E935" s="206"/>
      <c r="F935" s="207"/>
      <c r="G935" s="208"/>
      <c r="H935" s="209"/>
      <c r="I935" s="210"/>
      <c r="J935" s="205"/>
    </row>
    <row r="936">
      <c r="A936" s="203"/>
      <c r="B936" s="203"/>
      <c r="C936" s="204"/>
      <c r="D936" s="205"/>
      <c r="E936" s="206"/>
      <c r="F936" s="207"/>
      <c r="G936" s="208"/>
      <c r="H936" s="209"/>
      <c r="I936" s="210"/>
      <c r="J936" s="205"/>
    </row>
    <row r="937">
      <c r="A937" s="203"/>
      <c r="B937" s="203"/>
      <c r="C937" s="204"/>
      <c r="D937" s="205"/>
      <c r="E937" s="206"/>
      <c r="F937" s="207"/>
      <c r="G937" s="208"/>
      <c r="H937" s="209"/>
      <c r="I937" s="210"/>
      <c r="J937" s="205"/>
    </row>
    <row r="938">
      <c r="A938" s="203"/>
      <c r="B938" s="203"/>
      <c r="C938" s="204"/>
      <c r="D938" s="205"/>
      <c r="E938" s="206"/>
      <c r="F938" s="207"/>
      <c r="G938" s="208"/>
      <c r="H938" s="209"/>
      <c r="I938" s="210"/>
      <c r="J938" s="205"/>
    </row>
    <row r="939">
      <c r="A939" s="203"/>
      <c r="B939" s="203"/>
      <c r="C939" s="204"/>
      <c r="D939" s="205"/>
      <c r="E939" s="206"/>
      <c r="F939" s="207"/>
      <c r="G939" s="208"/>
      <c r="H939" s="209"/>
      <c r="I939" s="210"/>
      <c r="J939" s="205"/>
    </row>
    <row r="940">
      <c r="A940" s="203"/>
      <c r="B940" s="203"/>
      <c r="C940" s="204"/>
      <c r="D940" s="205"/>
      <c r="E940" s="206"/>
      <c r="F940" s="207"/>
      <c r="G940" s="208"/>
      <c r="H940" s="209"/>
      <c r="I940" s="210"/>
      <c r="J940" s="205"/>
    </row>
    <row r="941">
      <c r="A941" s="203"/>
      <c r="B941" s="203"/>
      <c r="C941" s="204"/>
      <c r="D941" s="205"/>
      <c r="E941" s="206"/>
      <c r="F941" s="207"/>
      <c r="G941" s="208"/>
      <c r="H941" s="209"/>
      <c r="I941" s="210"/>
      <c r="J941" s="205"/>
    </row>
    <row r="942">
      <c r="A942" s="203"/>
      <c r="B942" s="203"/>
      <c r="C942" s="204"/>
      <c r="D942" s="205"/>
      <c r="E942" s="206"/>
      <c r="F942" s="207"/>
      <c r="G942" s="208"/>
      <c r="H942" s="209"/>
      <c r="I942" s="210"/>
      <c r="J942" s="205"/>
    </row>
    <row r="943">
      <c r="A943" s="203"/>
      <c r="B943" s="203"/>
      <c r="C943" s="204"/>
      <c r="D943" s="205"/>
      <c r="E943" s="206"/>
      <c r="F943" s="207"/>
      <c r="G943" s="208"/>
      <c r="H943" s="209"/>
      <c r="I943" s="210"/>
      <c r="J943" s="205"/>
    </row>
    <row r="944">
      <c r="A944" s="203"/>
      <c r="B944" s="203"/>
      <c r="C944" s="204"/>
      <c r="D944" s="205"/>
      <c r="E944" s="206"/>
      <c r="F944" s="207"/>
      <c r="G944" s="208"/>
      <c r="H944" s="209"/>
      <c r="I944" s="210"/>
      <c r="J944" s="205"/>
    </row>
    <row r="945">
      <c r="A945" s="203"/>
      <c r="B945" s="203"/>
      <c r="C945" s="204"/>
      <c r="D945" s="205"/>
      <c r="E945" s="206"/>
      <c r="F945" s="207"/>
      <c r="G945" s="208"/>
      <c r="H945" s="209"/>
      <c r="I945" s="210"/>
      <c r="J945" s="205"/>
    </row>
    <row r="946">
      <c r="A946" s="203"/>
      <c r="B946" s="203"/>
      <c r="C946" s="204"/>
      <c r="D946" s="205"/>
      <c r="E946" s="206"/>
      <c r="F946" s="207"/>
      <c r="G946" s="208"/>
      <c r="H946" s="209"/>
      <c r="I946" s="210"/>
      <c r="J946" s="205"/>
    </row>
    <row r="947">
      <c r="A947" s="203"/>
      <c r="B947" s="203"/>
      <c r="C947" s="204"/>
      <c r="D947" s="205"/>
      <c r="E947" s="206"/>
      <c r="F947" s="207"/>
      <c r="G947" s="208"/>
      <c r="H947" s="209"/>
      <c r="I947" s="210"/>
      <c r="J947" s="205"/>
    </row>
    <row r="948">
      <c r="A948" s="203"/>
      <c r="B948" s="203"/>
      <c r="C948" s="204"/>
      <c r="D948" s="205"/>
      <c r="E948" s="206"/>
      <c r="F948" s="207"/>
      <c r="G948" s="208"/>
      <c r="H948" s="209"/>
      <c r="I948" s="210"/>
      <c r="J948" s="205"/>
    </row>
    <row r="949">
      <c r="A949" s="203"/>
      <c r="B949" s="203"/>
      <c r="C949" s="204"/>
      <c r="D949" s="205"/>
      <c r="E949" s="206"/>
      <c r="F949" s="207"/>
      <c r="G949" s="208"/>
      <c r="H949" s="209"/>
      <c r="I949" s="210"/>
      <c r="J949" s="205"/>
    </row>
    <row r="950">
      <c r="A950" s="203"/>
      <c r="B950" s="203"/>
      <c r="C950" s="204"/>
      <c r="D950" s="205"/>
      <c r="E950" s="206"/>
      <c r="F950" s="207"/>
      <c r="G950" s="208"/>
      <c r="H950" s="209"/>
      <c r="I950" s="210"/>
      <c r="J950" s="205"/>
    </row>
    <row r="951">
      <c r="A951" s="203"/>
      <c r="B951" s="203"/>
      <c r="C951" s="204"/>
      <c r="D951" s="205"/>
      <c r="E951" s="206"/>
      <c r="F951" s="207"/>
      <c r="G951" s="208"/>
      <c r="H951" s="209"/>
      <c r="I951" s="210"/>
      <c r="J951" s="205"/>
    </row>
    <row r="952">
      <c r="A952" s="203"/>
      <c r="B952" s="203"/>
      <c r="C952" s="204"/>
      <c r="D952" s="205"/>
      <c r="E952" s="206"/>
      <c r="F952" s="207"/>
      <c r="G952" s="208"/>
      <c r="H952" s="209"/>
      <c r="I952" s="210"/>
      <c r="J952" s="205"/>
    </row>
    <row r="953">
      <c r="A953" s="203"/>
      <c r="B953" s="203"/>
      <c r="C953" s="204"/>
      <c r="D953" s="205"/>
      <c r="E953" s="206"/>
      <c r="F953" s="207"/>
      <c r="G953" s="208"/>
      <c r="H953" s="209"/>
      <c r="I953" s="210"/>
      <c r="J953" s="205"/>
    </row>
    <row r="954">
      <c r="A954" s="203"/>
      <c r="B954" s="203"/>
      <c r="C954" s="204"/>
      <c r="D954" s="205"/>
      <c r="E954" s="206"/>
      <c r="F954" s="207"/>
      <c r="G954" s="208"/>
      <c r="H954" s="209"/>
      <c r="I954" s="210"/>
      <c r="J954" s="205"/>
    </row>
    <row r="955">
      <c r="A955" s="203"/>
      <c r="B955" s="203"/>
      <c r="C955" s="204"/>
      <c r="D955" s="205"/>
      <c r="E955" s="206"/>
      <c r="F955" s="207"/>
      <c r="G955" s="208"/>
      <c r="H955" s="209"/>
      <c r="I955" s="210"/>
      <c r="J955" s="205"/>
    </row>
    <row r="956">
      <c r="A956" s="203"/>
      <c r="B956" s="203"/>
      <c r="C956" s="204"/>
      <c r="D956" s="205"/>
      <c r="E956" s="206"/>
      <c r="F956" s="207"/>
      <c r="G956" s="208"/>
      <c r="H956" s="209"/>
      <c r="I956" s="210"/>
      <c r="J956" s="205"/>
    </row>
    <row r="957">
      <c r="A957" s="203"/>
      <c r="B957" s="203"/>
      <c r="C957" s="204"/>
      <c r="D957" s="205"/>
      <c r="E957" s="206"/>
      <c r="F957" s="207"/>
      <c r="G957" s="208"/>
      <c r="H957" s="209"/>
      <c r="I957" s="210"/>
      <c r="J957" s="205"/>
    </row>
    <row r="958">
      <c r="A958" s="203"/>
      <c r="B958" s="203"/>
      <c r="C958" s="204"/>
      <c r="D958" s="205"/>
      <c r="E958" s="206"/>
      <c r="F958" s="207"/>
      <c r="G958" s="208"/>
      <c r="H958" s="209"/>
      <c r="I958" s="210"/>
      <c r="J958" s="205"/>
    </row>
    <row r="959">
      <c r="A959" s="203"/>
      <c r="B959" s="203"/>
      <c r="C959" s="204"/>
      <c r="D959" s="205"/>
      <c r="E959" s="206"/>
      <c r="F959" s="207"/>
      <c r="G959" s="208"/>
      <c r="H959" s="209"/>
      <c r="I959" s="210"/>
      <c r="J959" s="205"/>
    </row>
    <row r="960">
      <c r="A960" s="203"/>
      <c r="B960" s="203"/>
      <c r="C960" s="204"/>
      <c r="D960" s="205"/>
      <c r="E960" s="206"/>
      <c r="F960" s="207"/>
      <c r="G960" s="208"/>
      <c r="H960" s="209"/>
      <c r="I960" s="210"/>
      <c r="J960" s="205"/>
    </row>
    <row r="961">
      <c r="A961" s="203"/>
      <c r="B961" s="203"/>
      <c r="C961" s="204"/>
      <c r="D961" s="205"/>
      <c r="E961" s="206"/>
      <c r="F961" s="207"/>
      <c r="G961" s="208"/>
      <c r="H961" s="209"/>
      <c r="I961" s="210"/>
      <c r="J961" s="205"/>
    </row>
    <row r="962">
      <c r="A962" s="203"/>
      <c r="B962" s="203"/>
      <c r="C962" s="204"/>
      <c r="D962" s="205"/>
      <c r="E962" s="206"/>
      <c r="F962" s="207"/>
      <c r="G962" s="208"/>
      <c r="H962" s="209"/>
      <c r="I962" s="210"/>
      <c r="J962" s="205"/>
    </row>
    <row r="963">
      <c r="A963" s="203"/>
      <c r="B963" s="203"/>
      <c r="C963" s="204"/>
      <c r="D963" s="205"/>
      <c r="E963" s="206"/>
      <c r="F963" s="207"/>
      <c r="G963" s="208"/>
      <c r="H963" s="209"/>
      <c r="I963" s="210"/>
      <c r="J963" s="205"/>
    </row>
    <row r="964">
      <c r="A964" s="203"/>
      <c r="B964" s="203"/>
      <c r="C964" s="204"/>
      <c r="D964" s="205"/>
      <c r="E964" s="206"/>
      <c r="F964" s="207"/>
      <c r="G964" s="208"/>
      <c r="H964" s="209"/>
      <c r="I964" s="210"/>
      <c r="J964" s="205"/>
    </row>
    <row r="965">
      <c r="A965" s="203"/>
      <c r="B965" s="203"/>
      <c r="C965" s="204"/>
      <c r="D965" s="205"/>
      <c r="E965" s="206"/>
      <c r="F965" s="207"/>
      <c r="G965" s="208"/>
      <c r="H965" s="209"/>
      <c r="I965" s="210"/>
      <c r="J965" s="205"/>
    </row>
    <row r="966">
      <c r="A966" s="203"/>
      <c r="B966" s="203"/>
      <c r="C966" s="204"/>
      <c r="D966" s="205"/>
      <c r="E966" s="206"/>
      <c r="F966" s="207"/>
      <c r="G966" s="208"/>
      <c r="H966" s="209"/>
      <c r="I966" s="210"/>
      <c r="J966" s="205"/>
    </row>
    <row r="967">
      <c r="A967" s="203"/>
      <c r="B967" s="203"/>
      <c r="C967" s="204"/>
      <c r="D967" s="205"/>
      <c r="E967" s="206"/>
      <c r="F967" s="207"/>
      <c r="G967" s="208"/>
      <c r="H967" s="209"/>
      <c r="I967" s="210"/>
      <c r="J967" s="205"/>
    </row>
    <row r="968">
      <c r="A968" s="203"/>
      <c r="B968" s="203"/>
      <c r="C968" s="204"/>
      <c r="D968" s="205"/>
      <c r="E968" s="206"/>
      <c r="F968" s="207"/>
      <c r="G968" s="208"/>
      <c r="H968" s="209"/>
      <c r="I968" s="210"/>
      <c r="J968" s="205"/>
    </row>
    <row r="969">
      <c r="A969" s="203"/>
      <c r="B969" s="203"/>
      <c r="C969" s="204"/>
      <c r="D969" s="205"/>
      <c r="E969" s="206"/>
      <c r="F969" s="207"/>
      <c r="G969" s="208"/>
      <c r="H969" s="209"/>
      <c r="I969" s="210"/>
      <c r="J969" s="205"/>
    </row>
    <row r="970">
      <c r="A970" s="203"/>
      <c r="B970" s="203"/>
      <c r="C970" s="204"/>
      <c r="D970" s="205"/>
      <c r="E970" s="206"/>
      <c r="F970" s="207"/>
      <c r="G970" s="208"/>
      <c r="H970" s="209"/>
      <c r="I970" s="210"/>
      <c r="J970" s="205"/>
    </row>
    <row r="971">
      <c r="A971" s="203"/>
      <c r="B971" s="203"/>
      <c r="C971" s="204"/>
      <c r="D971" s="205"/>
      <c r="E971" s="206"/>
      <c r="F971" s="207"/>
      <c r="G971" s="208"/>
      <c r="H971" s="209"/>
      <c r="I971" s="210"/>
      <c r="J971" s="205"/>
    </row>
    <row r="972">
      <c r="A972" s="203"/>
      <c r="B972" s="203"/>
      <c r="C972" s="204"/>
      <c r="D972" s="205"/>
      <c r="E972" s="206"/>
      <c r="F972" s="207"/>
      <c r="G972" s="208"/>
      <c r="H972" s="209"/>
      <c r="I972" s="210"/>
      <c r="J972" s="205"/>
    </row>
    <row r="973">
      <c r="A973" s="203"/>
      <c r="B973" s="203"/>
      <c r="C973" s="204"/>
      <c r="D973" s="205"/>
      <c r="E973" s="206"/>
      <c r="F973" s="207"/>
      <c r="G973" s="208"/>
      <c r="H973" s="209"/>
      <c r="I973" s="210"/>
      <c r="J973" s="205"/>
    </row>
    <row r="974">
      <c r="A974" s="203"/>
      <c r="B974" s="203"/>
      <c r="C974" s="204"/>
      <c r="D974" s="205"/>
      <c r="E974" s="206"/>
      <c r="F974" s="207"/>
      <c r="G974" s="208"/>
      <c r="H974" s="209"/>
      <c r="I974" s="210"/>
      <c r="J974" s="205"/>
    </row>
    <row r="975">
      <c r="A975" s="203"/>
      <c r="B975" s="203"/>
      <c r="C975" s="204"/>
      <c r="D975" s="205"/>
      <c r="E975" s="206"/>
      <c r="F975" s="207"/>
      <c r="G975" s="208"/>
      <c r="H975" s="209"/>
      <c r="I975" s="210"/>
      <c r="J975" s="205"/>
    </row>
    <row r="976">
      <c r="A976" s="203"/>
      <c r="B976" s="203"/>
      <c r="C976" s="204"/>
      <c r="D976" s="205"/>
      <c r="E976" s="206"/>
      <c r="F976" s="207"/>
      <c r="G976" s="208"/>
      <c r="H976" s="209"/>
      <c r="I976" s="210"/>
      <c r="J976" s="205"/>
    </row>
    <row r="977">
      <c r="A977" s="203"/>
      <c r="B977" s="203"/>
      <c r="C977" s="204"/>
      <c r="D977" s="205"/>
      <c r="E977" s="206"/>
      <c r="F977" s="207"/>
      <c r="G977" s="208"/>
      <c r="H977" s="209"/>
      <c r="I977" s="210"/>
      <c r="J977" s="205"/>
    </row>
    <row r="978">
      <c r="A978" s="203"/>
      <c r="B978" s="203"/>
      <c r="C978" s="204"/>
      <c r="D978" s="205"/>
      <c r="E978" s="206"/>
      <c r="F978" s="207"/>
      <c r="G978" s="208"/>
      <c r="H978" s="209"/>
      <c r="I978" s="210"/>
      <c r="J978" s="205"/>
    </row>
    <row r="979">
      <c r="A979" s="203"/>
      <c r="B979" s="203"/>
      <c r="C979" s="204"/>
      <c r="D979" s="205"/>
      <c r="E979" s="206"/>
      <c r="F979" s="207"/>
      <c r="G979" s="208"/>
      <c r="H979" s="209"/>
      <c r="I979" s="210"/>
      <c r="J979" s="205"/>
    </row>
    <row r="980">
      <c r="A980" s="203"/>
      <c r="B980" s="203"/>
      <c r="C980" s="204"/>
      <c r="D980" s="205"/>
      <c r="E980" s="206"/>
      <c r="F980" s="207"/>
      <c r="G980" s="208"/>
      <c r="H980" s="209"/>
      <c r="I980" s="210"/>
      <c r="J980" s="205"/>
    </row>
    <row r="981">
      <c r="A981" s="203"/>
      <c r="B981" s="203"/>
      <c r="C981" s="204"/>
      <c r="D981" s="205"/>
      <c r="E981" s="206"/>
      <c r="F981" s="207"/>
      <c r="G981" s="208"/>
      <c r="H981" s="209"/>
      <c r="I981" s="210"/>
      <c r="J981" s="205"/>
    </row>
    <row r="982">
      <c r="A982" s="203"/>
      <c r="B982" s="203"/>
      <c r="C982" s="204"/>
      <c r="D982" s="205"/>
      <c r="E982" s="206"/>
      <c r="F982" s="207"/>
      <c r="G982" s="208"/>
      <c r="H982" s="209"/>
      <c r="I982" s="210"/>
      <c r="J982" s="205"/>
    </row>
    <row r="983">
      <c r="A983" s="203"/>
      <c r="B983" s="203"/>
      <c r="C983" s="204"/>
      <c r="D983" s="205"/>
      <c r="E983" s="206"/>
      <c r="F983" s="207"/>
      <c r="G983" s="208"/>
      <c r="H983" s="209"/>
      <c r="I983" s="210"/>
      <c r="J983" s="205"/>
    </row>
    <row r="984">
      <c r="A984" s="203"/>
      <c r="B984" s="203"/>
      <c r="C984" s="204"/>
      <c r="D984" s="205"/>
      <c r="E984" s="206"/>
      <c r="F984" s="207"/>
      <c r="G984" s="208"/>
      <c r="H984" s="209"/>
      <c r="I984" s="210"/>
      <c r="J984" s="205"/>
    </row>
    <row r="985">
      <c r="A985" s="203"/>
      <c r="B985" s="203"/>
      <c r="C985" s="204"/>
      <c r="D985" s="205"/>
      <c r="E985" s="206"/>
      <c r="F985" s="207"/>
      <c r="G985" s="208"/>
      <c r="H985" s="209"/>
      <c r="I985" s="210"/>
      <c r="J985" s="205"/>
    </row>
    <row r="986">
      <c r="A986" s="203"/>
      <c r="B986" s="203"/>
      <c r="C986" s="204"/>
      <c r="D986" s="205"/>
      <c r="E986" s="206"/>
      <c r="F986" s="207"/>
      <c r="G986" s="208"/>
      <c r="H986" s="209"/>
      <c r="I986" s="210"/>
      <c r="J986" s="205"/>
    </row>
    <row r="987">
      <c r="A987" s="203"/>
      <c r="B987" s="203"/>
      <c r="C987" s="204"/>
      <c r="D987" s="205"/>
      <c r="E987" s="206"/>
      <c r="F987" s="207"/>
      <c r="G987" s="208"/>
      <c r="H987" s="209"/>
      <c r="I987" s="210"/>
      <c r="J987" s="205"/>
    </row>
    <row r="988">
      <c r="A988" s="203"/>
      <c r="B988" s="203"/>
      <c r="C988" s="204"/>
      <c r="D988" s="205"/>
      <c r="E988" s="206"/>
      <c r="F988" s="207"/>
      <c r="G988" s="208"/>
      <c r="H988" s="209"/>
      <c r="I988" s="210"/>
      <c r="J988" s="205"/>
    </row>
    <row r="989">
      <c r="A989" s="203"/>
      <c r="B989" s="203"/>
      <c r="C989" s="204"/>
      <c r="D989" s="205"/>
      <c r="E989" s="206"/>
      <c r="F989" s="207"/>
      <c r="G989" s="208"/>
      <c r="H989" s="209"/>
      <c r="I989" s="210"/>
      <c r="J989" s="205"/>
    </row>
    <row r="990">
      <c r="A990" s="203"/>
      <c r="B990" s="203"/>
      <c r="C990" s="204"/>
      <c r="D990" s="205"/>
      <c r="E990" s="206"/>
      <c r="F990" s="207"/>
      <c r="G990" s="208"/>
      <c r="H990" s="209"/>
      <c r="I990" s="210"/>
      <c r="J990" s="205"/>
    </row>
    <row r="991">
      <c r="A991" s="203"/>
      <c r="B991" s="203"/>
      <c r="C991" s="204"/>
      <c r="D991" s="205"/>
      <c r="E991" s="206"/>
      <c r="F991" s="207"/>
      <c r="G991" s="208"/>
      <c r="H991" s="209"/>
      <c r="I991" s="210"/>
      <c r="J991" s="205"/>
    </row>
    <row r="992">
      <c r="A992" s="203"/>
      <c r="B992" s="203"/>
      <c r="C992" s="204"/>
      <c r="D992" s="205"/>
      <c r="E992" s="206"/>
      <c r="F992" s="207"/>
      <c r="G992" s="208"/>
      <c r="H992" s="209"/>
      <c r="I992" s="210"/>
      <c r="J992" s="205"/>
    </row>
    <row r="993">
      <c r="A993" s="203"/>
      <c r="B993" s="203"/>
      <c r="C993" s="204"/>
      <c r="D993" s="205"/>
      <c r="E993" s="206"/>
      <c r="F993" s="207"/>
      <c r="G993" s="208"/>
      <c r="H993" s="209"/>
      <c r="I993" s="210"/>
      <c r="J993" s="205"/>
    </row>
    <row r="994">
      <c r="A994" s="203"/>
      <c r="B994" s="203"/>
      <c r="C994" s="204"/>
      <c r="D994" s="205"/>
      <c r="E994" s="206"/>
      <c r="F994" s="207"/>
      <c r="G994" s="208"/>
      <c r="H994" s="209"/>
      <c r="I994" s="210"/>
      <c r="J994" s="205"/>
    </row>
    <row r="995">
      <c r="A995" s="203"/>
      <c r="B995" s="203"/>
      <c r="C995" s="204"/>
      <c r="D995" s="205"/>
      <c r="E995" s="206"/>
      <c r="F995" s="207"/>
      <c r="G995" s="208"/>
      <c r="H995" s="209"/>
      <c r="I995" s="210"/>
      <c r="J995" s="205"/>
    </row>
    <row r="996">
      <c r="A996" s="203"/>
      <c r="B996" s="203"/>
      <c r="C996" s="204"/>
      <c r="D996" s="205"/>
      <c r="E996" s="206"/>
      <c r="F996" s="207"/>
      <c r="G996" s="208"/>
      <c r="H996" s="209"/>
      <c r="I996" s="210"/>
      <c r="J996" s="205"/>
    </row>
    <row r="997">
      <c r="A997" s="203"/>
      <c r="B997" s="203"/>
      <c r="C997" s="204"/>
      <c r="D997" s="205"/>
      <c r="E997" s="206"/>
      <c r="F997" s="207"/>
      <c r="G997" s="208"/>
      <c r="H997" s="209"/>
      <c r="I997" s="210"/>
      <c r="J997" s="205"/>
    </row>
    <row r="998">
      <c r="A998" s="203"/>
      <c r="B998" s="203"/>
      <c r="C998" s="204"/>
      <c r="D998" s="205"/>
      <c r="E998" s="206"/>
      <c r="F998" s="207"/>
      <c r="G998" s="208"/>
      <c r="H998" s="209"/>
      <c r="I998" s="210"/>
      <c r="J998" s="205"/>
    </row>
    <row r="999">
      <c r="A999" s="203"/>
      <c r="B999" s="203"/>
      <c r="C999" s="204"/>
      <c r="D999" s="205"/>
      <c r="E999" s="206"/>
      <c r="F999" s="207"/>
      <c r="G999" s="208"/>
      <c r="H999" s="209"/>
      <c r="I999" s="210"/>
      <c r="J999" s="205"/>
    </row>
    <row r="1000">
      <c r="A1000" s="203"/>
      <c r="B1000" s="203"/>
      <c r="C1000" s="204"/>
      <c r="D1000" s="205"/>
      <c r="E1000" s="206"/>
      <c r="F1000" s="207"/>
      <c r="G1000" s="208"/>
      <c r="H1000" s="209"/>
      <c r="I1000" s="210"/>
      <c r="J1000" s="205"/>
    </row>
    <row r="1001">
      <c r="A1001" s="203"/>
      <c r="B1001" s="203"/>
      <c r="C1001" s="204"/>
      <c r="D1001" s="205"/>
      <c r="E1001" s="206"/>
      <c r="F1001" s="207"/>
      <c r="G1001" s="208"/>
      <c r="H1001" s="209"/>
      <c r="I1001" s="210"/>
      <c r="J1001" s="205"/>
    </row>
    <row r="1002">
      <c r="A1002" s="203"/>
      <c r="B1002" s="203"/>
      <c r="C1002" s="204"/>
      <c r="D1002" s="205"/>
      <c r="E1002" s="206"/>
      <c r="F1002" s="207"/>
      <c r="G1002" s="208"/>
      <c r="H1002" s="209"/>
      <c r="I1002" s="210"/>
      <c r="J1002" s="205"/>
    </row>
    <row r="1003">
      <c r="A1003" s="203"/>
      <c r="B1003" s="203"/>
      <c r="C1003" s="204"/>
      <c r="D1003" s="205"/>
      <c r="E1003" s="206"/>
      <c r="F1003" s="207"/>
      <c r="G1003" s="208"/>
      <c r="H1003" s="209"/>
      <c r="I1003" s="210"/>
      <c r="J1003" s="205"/>
    </row>
    <row r="1004">
      <c r="A1004" s="203"/>
      <c r="B1004" s="203"/>
      <c r="C1004" s="204"/>
      <c r="D1004" s="205"/>
      <c r="E1004" s="206"/>
      <c r="F1004" s="207"/>
      <c r="G1004" s="208"/>
      <c r="H1004" s="209"/>
      <c r="I1004" s="210"/>
      <c r="J1004" s="205"/>
    </row>
    <row r="1005">
      <c r="A1005" s="203"/>
      <c r="B1005" s="203"/>
      <c r="C1005" s="204"/>
      <c r="D1005" s="205"/>
      <c r="E1005" s="206"/>
      <c r="F1005" s="207"/>
      <c r="G1005" s="208"/>
      <c r="H1005" s="209"/>
      <c r="I1005" s="210"/>
      <c r="J1005" s="205"/>
    </row>
    <row r="1006">
      <c r="A1006" s="203"/>
      <c r="B1006" s="203"/>
      <c r="C1006" s="204"/>
      <c r="D1006" s="205"/>
      <c r="E1006" s="206"/>
      <c r="F1006" s="207"/>
      <c r="G1006" s="208"/>
      <c r="H1006" s="209"/>
      <c r="I1006" s="210"/>
      <c r="J1006" s="205"/>
    </row>
    <row r="1007">
      <c r="A1007" s="203"/>
      <c r="B1007" s="203"/>
      <c r="C1007" s="204"/>
      <c r="D1007" s="205"/>
      <c r="E1007" s="206"/>
      <c r="F1007" s="207"/>
      <c r="G1007" s="208"/>
      <c r="H1007" s="209"/>
      <c r="I1007" s="210"/>
      <c r="J1007" s="205"/>
    </row>
  </sheetData>
  <mergeCells count="91">
    <mergeCell ref="D5:H5"/>
    <mergeCell ref="D6:H6"/>
    <mergeCell ref="D7:H7"/>
    <mergeCell ref="D8:H8"/>
    <mergeCell ref="D9:H9"/>
    <mergeCell ref="D10:H10"/>
    <mergeCell ref="B2:C2"/>
    <mergeCell ref="D2:J2"/>
    <mergeCell ref="A3:C3"/>
    <mergeCell ref="D3:H3"/>
    <mergeCell ref="A4:A11"/>
    <mergeCell ref="D4:H4"/>
    <mergeCell ref="B6:B11"/>
    <mergeCell ref="D16:H16"/>
    <mergeCell ref="D17:H17"/>
    <mergeCell ref="D18:H18"/>
    <mergeCell ref="D19:H19"/>
    <mergeCell ref="D11:H11"/>
    <mergeCell ref="D12:H12"/>
    <mergeCell ref="A13:A20"/>
    <mergeCell ref="B13:B19"/>
    <mergeCell ref="D13:H13"/>
    <mergeCell ref="D14:H14"/>
    <mergeCell ref="D15:H15"/>
    <mergeCell ref="G56:J56"/>
    <mergeCell ref="G57:J57"/>
    <mergeCell ref="G49:J49"/>
    <mergeCell ref="G50:J50"/>
    <mergeCell ref="G51:J51"/>
    <mergeCell ref="G52:J52"/>
    <mergeCell ref="G53:J53"/>
    <mergeCell ref="G54:J54"/>
    <mergeCell ref="G55:J55"/>
    <mergeCell ref="G65:J65"/>
    <mergeCell ref="D80:F80"/>
    <mergeCell ref="D92:F92"/>
    <mergeCell ref="D104:F104"/>
    <mergeCell ref="G58:J58"/>
    <mergeCell ref="G59:J59"/>
    <mergeCell ref="G60:J60"/>
    <mergeCell ref="G61:J61"/>
    <mergeCell ref="G62:J62"/>
    <mergeCell ref="G63:J63"/>
    <mergeCell ref="G64:J64"/>
    <mergeCell ref="D20:H20"/>
    <mergeCell ref="A21:C21"/>
    <mergeCell ref="D21:H21"/>
    <mergeCell ref="A22:C22"/>
    <mergeCell ref="A23:C23"/>
    <mergeCell ref="A24:C24"/>
    <mergeCell ref="D25:J25"/>
    <mergeCell ref="D26:J26"/>
    <mergeCell ref="D27:J27"/>
    <mergeCell ref="D28:J28"/>
    <mergeCell ref="D29:J29"/>
    <mergeCell ref="D30:J30"/>
    <mergeCell ref="D31:J31"/>
    <mergeCell ref="D32:J32"/>
    <mergeCell ref="D40:J40"/>
    <mergeCell ref="D41:J41"/>
    <mergeCell ref="D42:J42"/>
    <mergeCell ref="D43:J43"/>
    <mergeCell ref="D33:J33"/>
    <mergeCell ref="D34:J34"/>
    <mergeCell ref="D35:J35"/>
    <mergeCell ref="D36:J36"/>
    <mergeCell ref="D37:J37"/>
    <mergeCell ref="D38:J38"/>
    <mergeCell ref="D39:J39"/>
    <mergeCell ref="A49:A56"/>
    <mergeCell ref="B51:B56"/>
    <mergeCell ref="A58:A64"/>
    <mergeCell ref="B58:B63"/>
    <mergeCell ref="A65:C65"/>
    <mergeCell ref="A66:C66"/>
    <mergeCell ref="A67:C67"/>
    <mergeCell ref="A68:C68"/>
    <mergeCell ref="B25:C25"/>
    <mergeCell ref="A26:C26"/>
    <mergeCell ref="A27:A34"/>
    <mergeCell ref="B29:B34"/>
    <mergeCell ref="A36:A42"/>
    <mergeCell ref="B36:B41"/>
    <mergeCell ref="A43:C43"/>
    <mergeCell ref="A44:C44"/>
    <mergeCell ref="A45:C45"/>
    <mergeCell ref="A46:C46"/>
    <mergeCell ref="B47:C47"/>
    <mergeCell ref="D47:J47"/>
    <mergeCell ref="A48:C48"/>
    <mergeCell ref="G48:J4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25.13"/>
    <col customWidth="1" min="3" max="9" width="15.13"/>
  </cols>
  <sheetData>
    <row r="1">
      <c r="A1" s="211"/>
      <c r="B1" s="212"/>
      <c r="C1" s="213" t="s">
        <v>109</v>
      </c>
      <c r="D1" s="214" t="s">
        <v>110</v>
      </c>
      <c r="E1" s="215" t="s">
        <v>111</v>
      </c>
      <c r="F1" s="216" t="s">
        <v>112</v>
      </c>
      <c r="G1" s="217" t="s">
        <v>113</v>
      </c>
      <c r="H1" s="218" t="s">
        <v>114</v>
      </c>
      <c r="I1" s="219" t="s">
        <v>115</v>
      </c>
      <c r="J1" s="220"/>
      <c r="K1" s="220"/>
      <c r="L1" s="220"/>
      <c r="M1" s="220"/>
      <c r="N1" s="220"/>
    </row>
    <row r="2" ht="26.25" customHeight="1">
      <c r="A2" s="221">
        <v>1.2</v>
      </c>
      <c r="C2" s="222"/>
      <c r="J2" s="6"/>
      <c r="K2" s="6"/>
      <c r="L2" s="6"/>
      <c r="M2" s="6"/>
      <c r="N2" s="6"/>
    </row>
    <row r="3">
      <c r="A3" s="223" t="s">
        <v>133</v>
      </c>
      <c r="B3" s="224"/>
      <c r="C3" s="225">
        <f>SUM(C5:I24)+C4</f>
        <v>595.2620798</v>
      </c>
      <c r="D3" s="226">
        <f>SUM(C5:I24)+D4</f>
        <v>577.6794806</v>
      </c>
      <c r="E3" s="227">
        <f>SUM(C5:I24)+E4</f>
        <v>583.8341111</v>
      </c>
      <c r="F3" s="228">
        <f>SUM(C5:I24)+F4</f>
        <v>579.2665078</v>
      </c>
      <c r="G3" s="229">
        <f>SUM(C5:I24)+G4</f>
        <v>589.4794812</v>
      </c>
      <c r="H3" s="230"/>
      <c r="I3" s="225"/>
      <c r="J3" s="231"/>
      <c r="K3" s="231"/>
      <c r="L3" s="231"/>
      <c r="M3" s="231"/>
      <c r="N3" s="231"/>
    </row>
    <row r="4">
      <c r="A4" s="232" t="s">
        <v>31</v>
      </c>
      <c r="B4" s="137"/>
      <c r="C4" s="233">
        <f>'Конструктор грунта'!P47</f>
        <v>107.1672833</v>
      </c>
      <c r="D4" s="234">
        <f>'Конструктор грунта'!P44</f>
        <v>89.584684</v>
      </c>
      <c r="E4" s="235">
        <f>'Конструктор грунта'!P50</f>
        <v>95.73931454</v>
      </c>
      <c r="F4" s="236">
        <f>'Конструктор грунта'!P48</f>
        <v>91.17171127</v>
      </c>
      <c r="G4" s="237">
        <f>'Конструктор грунта'!P46</f>
        <v>101.3846846</v>
      </c>
      <c r="H4" s="238"/>
      <c r="I4" s="239"/>
      <c r="J4" s="68"/>
      <c r="K4" s="68"/>
      <c r="L4" s="68"/>
      <c r="M4" s="68"/>
      <c r="N4" s="68"/>
    </row>
    <row r="5">
      <c r="A5" s="240" t="s">
        <v>45</v>
      </c>
      <c r="B5" s="241" t="s">
        <v>138</v>
      </c>
      <c r="C5" s="242">
        <f>'P&amp;L факт'!C38</f>
        <v>10.06181818</v>
      </c>
      <c r="J5" s="6"/>
      <c r="K5" s="6"/>
      <c r="L5" s="6"/>
      <c r="M5" s="6"/>
      <c r="N5" s="6"/>
    </row>
    <row r="6">
      <c r="A6" s="137"/>
      <c r="B6" s="243" t="s">
        <v>47</v>
      </c>
      <c r="C6" s="244">
        <f>'P&amp;L факт'!C39</f>
        <v>23.41481481</v>
      </c>
      <c r="D6" s="137"/>
      <c r="E6" s="137"/>
      <c r="F6" s="137"/>
      <c r="G6" s="137"/>
      <c r="H6" s="137"/>
      <c r="I6" s="137"/>
      <c r="J6" s="68"/>
      <c r="K6" s="68"/>
      <c r="L6" s="68"/>
      <c r="M6" s="68"/>
      <c r="N6" s="68"/>
    </row>
    <row r="7">
      <c r="A7" s="240" t="s">
        <v>48</v>
      </c>
      <c r="B7" s="241" t="s">
        <v>51</v>
      </c>
      <c r="C7" s="242">
        <f>'P&amp;L факт'!C41</f>
        <v>15.57</v>
      </c>
      <c r="J7" s="6"/>
      <c r="K7" s="6"/>
      <c r="L7" s="6"/>
      <c r="M7" s="6"/>
      <c r="N7" s="6"/>
    </row>
    <row r="8">
      <c r="B8" s="245" t="s">
        <v>49</v>
      </c>
      <c r="C8" s="242">
        <f>'P&amp;L факт'!C40</f>
        <v>12.05</v>
      </c>
      <c r="J8" s="6"/>
      <c r="K8" s="6"/>
      <c r="L8" s="6"/>
      <c r="M8" s="6"/>
      <c r="N8" s="6"/>
    </row>
    <row r="9">
      <c r="B9" s="241" t="s">
        <v>139</v>
      </c>
      <c r="C9" s="242">
        <f>'P&amp;L факт'!C45</f>
        <v>39.3</v>
      </c>
      <c r="J9" s="6"/>
      <c r="K9" s="6"/>
      <c r="L9" s="6"/>
      <c r="M9" s="6"/>
      <c r="N9" s="6"/>
    </row>
    <row r="10">
      <c r="B10" s="241" t="s">
        <v>57</v>
      </c>
      <c r="C10" s="242">
        <f>'P&amp;L факт'!C48</f>
        <v>12.23103448</v>
      </c>
      <c r="J10" s="6"/>
      <c r="K10" s="6"/>
      <c r="L10" s="6"/>
      <c r="M10" s="6"/>
      <c r="N10" s="6"/>
    </row>
    <row r="11">
      <c r="B11" s="241" t="s">
        <v>58</v>
      </c>
      <c r="C11" s="242">
        <f>'P&amp;L факт'!C49*0.5</f>
        <v>14.74761905</v>
      </c>
      <c r="J11" s="6"/>
      <c r="K11" s="6"/>
      <c r="L11" s="6"/>
      <c r="M11" s="6"/>
      <c r="N11" s="6"/>
    </row>
    <row r="12">
      <c r="B12" s="241" t="s">
        <v>59</v>
      </c>
      <c r="C12" s="242">
        <f>'P&amp;L факт'!C50*2</f>
        <v>0.86</v>
      </c>
      <c r="J12" s="6"/>
      <c r="K12" s="6"/>
      <c r="L12" s="6"/>
      <c r="M12" s="6"/>
      <c r="N12" s="6"/>
    </row>
    <row r="13">
      <c r="B13" s="241" t="s">
        <v>60</v>
      </c>
      <c r="C13" s="242">
        <f>'P&amp;L факт'!C51</f>
        <v>2.7</v>
      </c>
      <c r="J13" s="6"/>
      <c r="K13" s="6"/>
      <c r="L13" s="6"/>
      <c r="M13" s="6"/>
      <c r="N13" s="6"/>
    </row>
    <row r="14">
      <c r="B14" s="243" t="s">
        <v>63</v>
      </c>
      <c r="C14" s="244">
        <f>'P&amp;L факт'!C54</f>
        <v>0.1835</v>
      </c>
      <c r="D14" s="137"/>
      <c r="E14" s="137"/>
      <c r="F14" s="137"/>
      <c r="G14" s="137"/>
      <c r="H14" s="137"/>
      <c r="I14" s="137"/>
      <c r="J14" s="68"/>
      <c r="K14" s="68"/>
      <c r="L14" s="68"/>
      <c r="M14" s="68"/>
      <c r="N14" s="68"/>
    </row>
    <row r="15">
      <c r="B15" s="241" t="s">
        <v>140</v>
      </c>
      <c r="C15" s="242">
        <f>'P&amp;L факт'!C55/24</f>
        <v>3.044583333</v>
      </c>
      <c r="J15" s="6"/>
      <c r="K15" s="6"/>
      <c r="L15" s="6"/>
      <c r="M15" s="6"/>
      <c r="N15" s="6"/>
    </row>
    <row r="16">
      <c r="B16" s="241" t="s">
        <v>65</v>
      </c>
      <c r="C16" s="242">
        <f>'P&amp;L факт'!C56/24</f>
        <v>0.02305555556</v>
      </c>
      <c r="J16" s="6"/>
      <c r="K16" s="6"/>
      <c r="L16" s="6"/>
      <c r="M16" s="6"/>
      <c r="N16" s="6"/>
    </row>
    <row r="17">
      <c r="A17" s="137"/>
      <c r="B17" s="241" t="s">
        <v>66</v>
      </c>
      <c r="C17" s="244">
        <f>124/180*2.5/24</f>
        <v>0.07175925926</v>
      </c>
      <c r="D17" s="137"/>
      <c r="E17" s="137"/>
      <c r="F17" s="137"/>
      <c r="G17" s="137"/>
      <c r="H17" s="137"/>
      <c r="I17" s="137"/>
      <c r="J17" s="68"/>
      <c r="K17" s="68"/>
      <c r="L17" s="68"/>
      <c r="M17" s="68"/>
      <c r="N17" s="68"/>
    </row>
    <row r="18">
      <c r="A18" s="240" t="s">
        <v>67</v>
      </c>
      <c r="B18" s="246" t="s">
        <v>68</v>
      </c>
      <c r="C18" s="242">
        <f>'P&amp;L факт'!C58</f>
        <v>38.83666062</v>
      </c>
      <c r="J18" s="6"/>
      <c r="K18" s="6"/>
      <c r="L18" s="6"/>
      <c r="M18" s="6"/>
      <c r="N18" s="6"/>
    </row>
    <row r="19">
      <c r="B19" s="247" t="s">
        <v>69</v>
      </c>
      <c r="C19" s="242">
        <f>'P&amp;L факт'!C59</f>
        <v>19.97090909</v>
      </c>
      <c r="J19" s="6"/>
      <c r="K19" s="6"/>
      <c r="L19" s="6"/>
      <c r="M19" s="6"/>
      <c r="N19" s="6"/>
    </row>
    <row r="20">
      <c r="B20" s="247" t="s">
        <v>70</v>
      </c>
      <c r="C20" s="242">
        <f>'P&amp;L факт'!C60</f>
        <v>15.97818182</v>
      </c>
      <c r="J20" s="6"/>
      <c r="K20" s="6"/>
      <c r="L20" s="6"/>
      <c r="M20" s="6"/>
      <c r="N20" s="6"/>
    </row>
    <row r="21">
      <c r="B21" s="248" t="s">
        <v>71</v>
      </c>
      <c r="C21" s="242">
        <f>'P&amp;L факт'!C61</f>
        <v>39.31958763</v>
      </c>
      <c r="J21" s="6"/>
      <c r="K21" s="6"/>
      <c r="L21" s="6"/>
      <c r="M21" s="6"/>
      <c r="N21" s="6"/>
    </row>
    <row r="22">
      <c r="A22" s="137"/>
      <c r="B22" s="249" t="s">
        <v>74</v>
      </c>
      <c r="C22" s="244">
        <f>'P&amp;L факт'!C64</f>
        <v>212.7272727</v>
      </c>
      <c r="D22" s="137"/>
      <c r="E22" s="137"/>
      <c r="F22" s="137"/>
      <c r="G22" s="137"/>
      <c r="H22" s="137"/>
      <c r="I22" s="137"/>
      <c r="J22" s="68"/>
      <c r="K22" s="68"/>
      <c r="L22" s="68"/>
      <c r="M22" s="68"/>
      <c r="N22" s="68"/>
    </row>
    <row r="23">
      <c r="A23" s="240" t="s">
        <v>141</v>
      </c>
      <c r="B23" s="241" t="s">
        <v>142</v>
      </c>
      <c r="C23" s="242">
        <f>'P&amp;L факт'!C65/500</f>
        <v>27.004</v>
      </c>
      <c r="J23" s="6"/>
      <c r="K23" s="6"/>
      <c r="L23" s="6"/>
      <c r="M23" s="6"/>
      <c r="N23" s="6"/>
    </row>
    <row r="24">
      <c r="B24" s="241" t="s">
        <v>143</v>
      </c>
      <c r="C24" s="242">
        <v>0.0</v>
      </c>
      <c r="J24" s="6"/>
      <c r="K24" s="6"/>
      <c r="L24" s="6"/>
      <c r="M24" s="6"/>
      <c r="N24" s="6"/>
    </row>
    <row r="25" ht="26.25" customHeight="1">
      <c r="A25" s="221">
        <v>2.2</v>
      </c>
      <c r="C25" s="222"/>
      <c r="J25" s="6"/>
      <c r="K25" s="6"/>
      <c r="L25" s="6"/>
      <c r="M25" s="6"/>
      <c r="N25" s="6"/>
    </row>
    <row r="26">
      <c r="A26" s="250" t="s">
        <v>133</v>
      </c>
      <c r="B26" s="224"/>
      <c r="C26" s="251">
        <f>SUM(C28:I47)+C27</f>
        <v>708.6388801</v>
      </c>
      <c r="D26" s="252">
        <f>SUM(C28:I47)+D27</f>
        <v>676.4041148</v>
      </c>
      <c r="E26" s="253">
        <f>SUM(C28:I47)+E27</f>
        <v>687.6876041</v>
      </c>
      <c r="F26" s="254">
        <f>SUM(C28:I47)+F27</f>
        <v>679.3136648</v>
      </c>
      <c r="G26" s="255">
        <f>SUM(C28:I47)+G27</f>
        <v>698.0374492</v>
      </c>
      <c r="H26" s="256">
        <f>SUM(C28:I47)+H27</f>
        <v>707.2549075</v>
      </c>
      <c r="I26" s="257">
        <f>SUM(C28:I47)+I27</f>
        <v>690.2841766</v>
      </c>
      <c r="J26" s="258"/>
      <c r="K26" s="258"/>
      <c r="L26" s="258"/>
      <c r="M26" s="258"/>
      <c r="N26" s="258"/>
    </row>
    <row r="27">
      <c r="A27" s="232" t="s">
        <v>31</v>
      </c>
      <c r="B27" s="243"/>
      <c r="C27" s="233">
        <f>'Конструктор грунта'!R47</f>
        <v>196.4733527</v>
      </c>
      <c r="D27" s="234">
        <f>'Конструктор грунта'!R44</f>
        <v>164.2385873</v>
      </c>
      <c r="E27" s="235">
        <f>'Конструктор грунта'!R50</f>
        <v>175.5220767</v>
      </c>
      <c r="F27" s="236">
        <f>'Конструктор грунта'!R48</f>
        <v>167.1481373</v>
      </c>
      <c r="G27" s="237">
        <f>'Конструктор грунта'!R46</f>
        <v>185.8719218</v>
      </c>
      <c r="H27" s="259">
        <f>'Конструктор грунта'!R45</f>
        <v>195.08938</v>
      </c>
      <c r="I27" s="260">
        <f>'Конструктор грунта'!R63</f>
        <v>178.1186492</v>
      </c>
      <c r="J27" s="68"/>
      <c r="K27" s="68"/>
      <c r="L27" s="68"/>
      <c r="M27" s="68"/>
      <c r="N27" s="68"/>
    </row>
    <row r="28">
      <c r="A28" s="240" t="s">
        <v>45</v>
      </c>
      <c r="B28" s="241" t="s">
        <v>138</v>
      </c>
      <c r="C28" s="242">
        <f>'P&amp;L факт'!C38</f>
        <v>10.06181818</v>
      </c>
      <c r="J28" s="6"/>
      <c r="K28" s="6"/>
      <c r="L28" s="6"/>
      <c r="M28" s="6"/>
      <c r="N28" s="6"/>
    </row>
    <row r="29">
      <c r="A29" s="137"/>
      <c r="B29" s="243" t="s">
        <v>47</v>
      </c>
      <c r="C29" s="244">
        <f>'P&amp;L факт'!C39</f>
        <v>23.41481481</v>
      </c>
      <c r="D29" s="137"/>
      <c r="E29" s="137"/>
      <c r="F29" s="137"/>
      <c r="G29" s="137"/>
      <c r="H29" s="137"/>
      <c r="I29" s="137"/>
      <c r="J29" s="68"/>
      <c r="K29" s="68"/>
      <c r="L29" s="68"/>
      <c r="M29" s="68"/>
      <c r="N29" s="68"/>
    </row>
    <row r="30">
      <c r="A30" s="240" t="s">
        <v>48</v>
      </c>
      <c r="B30" s="241" t="s">
        <v>52</v>
      </c>
      <c r="C30" s="242">
        <f>'P&amp;L факт'!C43</f>
        <v>19.34</v>
      </c>
      <c r="J30" s="6"/>
      <c r="K30" s="6"/>
      <c r="L30" s="6"/>
      <c r="M30" s="6"/>
      <c r="N30" s="6"/>
    </row>
    <row r="31">
      <c r="B31" s="245" t="s">
        <v>49</v>
      </c>
      <c r="C31" s="242">
        <f>'P&amp;L факт'!C40</f>
        <v>12.05</v>
      </c>
      <c r="J31" s="6"/>
      <c r="K31" s="6"/>
      <c r="L31" s="6"/>
      <c r="M31" s="6"/>
      <c r="N31" s="6"/>
    </row>
    <row r="32">
      <c r="B32" s="241" t="s">
        <v>55</v>
      </c>
      <c r="C32" s="242">
        <f>'P&amp;L факт'!C46</f>
        <v>45.8</v>
      </c>
      <c r="J32" s="6"/>
      <c r="K32" s="6"/>
      <c r="L32" s="6"/>
      <c r="M32" s="6"/>
      <c r="N32" s="6"/>
    </row>
    <row r="33">
      <c r="B33" s="241" t="s">
        <v>57</v>
      </c>
      <c r="C33" s="242">
        <f>'P&amp;L факт'!C48</f>
        <v>12.23103448</v>
      </c>
      <c r="J33" s="6"/>
      <c r="K33" s="6"/>
      <c r="L33" s="6"/>
      <c r="M33" s="6"/>
      <c r="N33" s="6"/>
    </row>
    <row r="34">
      <c r="B34" s="241" t="s">
        <v>58</v>
      </c>
      <c r="C34" s="242">
        <f>'P&amp;L факт'!C49*0.7</f>
        <v>20.64666667</v>
      </c>
      <c r="J34" s="6"/>
      <c r="K34" s="6"/>
      <c r="L34" s="6"/>
      <c r="M34" s="6"/>
      <c r="N34" s="6"/>
    </row>
    <row r="35">
      <c r="B35" s="241" t="s">
        <v>59</v>
      </c>
      <c r="C35" s="242">
        <f>'P&amp;L факт'!C50*2</f>
        <v>0.86</v>
      </c>
      <c r="J35" s="6"/>
      <c r="K35" s="6"/>
      <c r="L35" s="6"/>
      <c r="M35" s="6"/>
      <c r="N35" s="6"/>
    </row>
    <row r="36">
      <c r="B36" s="241" t="s">
        <v>61</v>
      </c>
      <c r="C36" s="242">
        <f>'P&amp;L факт'!C52</f>
        <v>3.5</v>
      </c>
      <c r="J36" s="6"/>
      <c r="K36" s="6"/>
      <c r="L36" s="6"/>
      <c r="M36" s="6"/>
      <c r="N36" s="6"/>
    </row>
    <row r="37">
      <c r="B37" s="243" t="s">
        <v>63</v>
      </c>
      <c r="C37" s="244">
        <f>'P&amp;L факт'!C54</f>
        <v>0.1835</v>
      </c>
      <c r="D37" s="137"/>
      <c r="E37" s="137"/>
      <c r="F37" s="137"/>
      <c r="G37" s="137"/>
      <c r="H37" s="137"/>
      <c r="I37" s="137"/>
      <c r="J37" s="68"/>
      <c r="K37" s="68"/>
      <c r="L37" s="68"/>
      <c r="M37" s="68"/>
      <c r="N37" s="68"/>
    </row>
    <row r="38">
      <c r="B38" s="241" t="s">
        <v>140</v>
      </c>
      <c r="C38" s="242">
        <f>'P&amp;L факт'!C55/11</f>
        <v>6.642727273</v>
      </c>
      <c r="J38" s="6"/>
      <c r="K38" s="6"/>
      <c r="L38" s="6"/>
      <c r="M38" s="6"/>
      <c r="N38" s="6"/>
    </row>
    <row r="39">
      <c r="B39" s="241" t="s">
        <v>65</v>
      </c>
      <c r="C39" s="242">
        <f>'P&amp;L факт'!C56/6</f>
        <v>0.09222222222</v>
      </c>
      <c r="J39" s="6"/>
      <c r="K39" s="6"/>
      <c r="L39" s="6"/>
      <c r="M39" s="6"/>
      <c r="N39" s="6"/>
    </row>
    <row r="40">
      <c r="A40" s="137"/>
      <c r="B40" s="243" t="s">
        <v>66</v>
      </c>
      <c r="C40" s="244">
        <f>124/180*2.5/8</f>
        <v>0.2152777778</v>
      </c>
      <c r="D40" s="137"/>
      <c r="E40" s="137"/>
      <c r="F40" s="137"/>
      <c r="G40" s="137"/>
      <c r="H40" s="137"/>
      <c r="I40" s="137"/>
      <c r="J40" s="68"/>
      <c r="K40" s="68"/>
      <c r="L40" s="68"/>
      <c r="M40" s="68"/>
      <c r="N40" s="68"/>
    </row>
    <row r="41">
      <c r="A41" s="240" t="s">
        <v>67</v>
      </c>
      <c r="B41" s="246" t="s">
        <v>68</v>
      </c>
      <c r="C41" s="242">
        <f>'P&amp;L факт'!C58</f>
        <v>38.83666062</v>
      </c>
      <c r="J41" s="6"/>
      <c r="K41" s="6"/>
      <c r="L41" s="6"/>
      <c r="M41" s="6"/>
      <c r="N41" s="6"/>
    </row>
    <row r="42">
      <c r="B42" s="247" t="s">
        <v>69</v>
      </c>
      <c r="C42" s="242">
        <f>'P&amp;L факт'!C59</f>
        <v>19.97090909</v>
      </c>
      <c r="J42" s="6"/>
      <c r="K42" s="6"/>
      <c r="L42" s="6"/>
      <c r="M42" s="6"/>
      <c r="N42" s="6"/>
    </row>
    <row r="43">
      <c r="B43" s="247" t="s">
        <v>70</v>
      </c>
      <c r="C43" s="242">
        <f>'P&amp;L факт'!C60</f>
        <v>15.97818182</v>
      </c>
      <c r="J43" s="6"/>
      <c r="K43" s="6"/>
      <c r="L43" s="6"/>
      <c r="M43" s="6"/>
      <c r="N43" s="6"/>
    </row>
    <row r="44">
      <c r="B44" s="248" t="s">
        <v>72</v>
      </c>
      <c r="C44" s="242">
        <f>'P&amp;L факт'!C62</f>
        <v>42.61044177</v>
      </c>
      <c r="J44" s="6"/>
      <c r="K44" s="6"/>
      <c r="L44" s="6"/>
      <c r="M44" s="6"/>
      <c r="N44" s="6"/>
    </row>
    <row r="45">
      <c r="A45" s="137"/>
      <c r="B45" s="249" t="s">
        <v>74</v>
      </c>
      <c r="C45" s="244">
        <f>'P&amp;L факт'!C64</f>
        <v>212.7272727</v>
      </c>
      <c r="D45" s="137"/>
      <c r="E45" s="137"/>
      <c r="F45" s="137"/>
      <c r="G45" s="137"/>
      <c r="H45" s="137"/>
      <c r="I45" s="137"/>
      <c r="J45" s="68"/>
      <c r="K45" s="68"/>
      <c r="L45" s="68"/>
      <c r="M45" s="68"/>
      <c r="N45" s="68"/>
    </row>
    <row r="46">
      <c r="A46" s="240" t="s">
        <v>141</v>
      </c>
      <c r="B46" s="241" t="s">
        <v>142</v>
      </c>
      <c r="C46" s="242">
        <f>'P&amp;L факт'!C65/500</f>
        <v>27.004</v>
      </c>
      <c r="J46" s="6"/>
      <c r="K46" s="6"/>
      <c r="L46" s="6"/>
      <c r="M46" s="6"/>
      <c r="N46" s="6"/>
    </row>
    <row r="47">
      <c r="B47" s="241" t="s">
        <v>143</v>
      </c>
      <c r="C47" s="242">
        <v>0.0</v>
      </c>
      <c r="J47" s="6"/>
      <c r="K47" s="6"/>
      <c r="L47" s="6"/>
      <c r="M47" s="6"/>
      <c r="N47" s="6"/>
    </row>
    <row r="48" ht="26.25" customHeight="1">
      <c r="A48" s="221">
        <v>3.5</v>
      </c>
      <c r="C48" s="222"/>
      <c r="J48" s="6"/>
      <c r="K48" s="6"/>
      <c r="L48" s="6"/>
      <c r="M48" s="6"/>
      <c r="N48" s="6"/>
    </row>
    <row r="49">
      <c r="A49" s="250" t="s">
        <v>133</v>
      </c>
      <c r="B49" s="224"/>
      <c r="C49" s="251"/>
      <c r="D49" s="252"/>
      <c r="E49" s="261"/>
      <c r="F49" s="254">
        <f>SUM(C51:I69)+F50</f>
        <v>849.3495879</v>
      </c>
      <c r="G49" s="255">
        <f>SUM(C51:I69)+G50</f>
        <v>879.1374268</v>
      </c>
      <c r="H49" s="256">
        <f>SUM(C51:I69)+H50</f>
        <v>893.801565</v>
      </c>
      <c r="I49" s="257">
        <f>SUM(C51:I69)+I50</f>
        <v>866.802675</v>
      </c>
      <c r="J49" s="258"/>
      <c r="K49" s="258"/>
      <c r="L49" s="258"/>
      <c r="M49" s="258"/>
      <c r="N49" s="258"/>
    </row>
    <row r="50">
      <c r="A50" s="232" t="s">
        <v>31</v>
      </c>
      <c r="B50" s="243"/>
      <c r="C50" s="233"/>
      <c r="D50" s="262"/>
      <c r="E50" s="263"/>
      <c r="F50" s="236">
        <f>'Конструктор грунта'!T48</f>
        <v>265.9174912</v>
      </c>
      <c r="G50" s="237">
        <f>'Конструктор грунта'!T46</f>
        <v>295.7053301</v>
      </c>
      <c r="H50" s="259">
        <f>'Конструктор грунта'!T45</f>
        <v>310.3694683</v>
      </c>
      <c r="I50" s="260">
        <f>'Конструктор грунта'!T63</f>
        <v>283.3705783</v>
      </c>
      <c r="J50" s="68"/>
      <c r="K50" s="68"/>
      <c r="L50" s="68"/>
      <c r="M50" s="68"/>
      <c r="N50" s="68"/>
    </row>
    <row r="51">
      <c r="A51" s="240" t="s">
        <v>45</v>
      </c>
      <c r="B51" s="241" t="s">
        <v>138</v>
      </c>
      <c r="C51" s="242">
        <f>'P&amp;L факт'!C38</f>
        <v>10.06181818</v>
      </c>
      <c r="J51" s="6"/>
      <c r="K51" s="6"/>
      <c r="L51" s="6"/>
      <c r="M51" s="6"/>
      <c r="N51" s="6"/>
    </row>
    <row r="52">
      <c r="A52" s="137"/>
      <c r="B52" s="241" t="s">
        <v>47</v>
      </c>
      <c r="C52" s="244">
        <f>'P&amp;L факт'!C39</f>
        <v>23.41481481</v>
      </c>
      <c r="D52" s="137"/>
      <c r="E52" s="137"/>
      <c r="F52" s="137"/>
      <c r="G52" s="137"/>
      <c r="H52" s="137"/>
      <c r="I52" s="137"/>
      <c r="J52" s="68"/>
      <c r="K52" s="68"/>
      <c r="L52" s="68"/>
      <c r="M52" s="68"/>
      <c r="N52" s="68"/>
    </row>
    <row r="53">
      <c r="A53" s="240" t="s">
        <v>48</v>
      </c>
      <c r="B53" s="264" t="s">
        <v>53</v>
      </c>
      <c r="C53" s="242">
        <f>'P&amp;L факт'!C44</f>
        <v>22.86</v>
      </c>
      <c r="J53" s="6"/>
      <c r="K53" s="6"/>
      <c r="L53" s="6"/>
      <c r="M53" s="6"/>
      <c r="N53" s="6"/>
    </row>
    <row r="54">
      <c r="B54" s="245" t="s">
        <v>50</v>
      </c>
      <c r="C54" s="242">
        <f>'P&amp;L факт'!C41</f>
        <v>15.57</v>
      </c>
      <c r="J54" s="6"/>
      <c r="K54" s="6"/>
      <c r="L54" s="6"/>
      <c r="M54" s="6"/>
      <c r="N54" s="6"/>
    </row>
    <row r="55">
      <c r="B55" s="241" t="s">
        <v>144</v>
      </c>
      <c r="C55" s="242">
        <f>'P&amp;L факт'!C47</f>
        <v>56.46</v>
      </c>
      <c r="J55" s="6"/>
      <c r="K55" s="6"/>
      <c r="L55" s="6"/>
      <c r="M55" s="6"/>
      <c r="N55" s="6"/>
    </row>
    <row r="56">
      <c r="B56" s="241" t="s">
        <v>57</v>
      </c>
      <c r="C56" s="242">
        <f>'P&amp;L факт'!C48</f>
        <v>12.23103448</v>
      </c>
      <c r="J56" s="6"/>
      <c r="K56" s="6"/>
      <c r="L56" s="6"/>
      <c r="M56" s="6"/>
      <c r="N56" s="6"/>
    </row>
    <row r="57">
      <c r="B57" s="241" t="s">
        <v>58</v>
      </c>
      <c r="C57" s="242">
        <f>'P&amp;L факт'!C49*0.9</f>
        <v>26.54571429</v>
      </c>
      <c r="J57" s="6"/>
      <c r="K57" s="6"/>
      <c r="L57" s="6"/>
      <c r="M57" s="6"/>
      <c r="N57" s="6"/>
    </row>
    <row r="58">
      <c r="B58" s="241" t="s">
        <v>59</v>
      </c>
      <c r="C58" s="242">
        <f>'P&amp;L факт'!C50*2</f>
        <v>0.86</v>
      </c>
      <c r="J58" s="6"/>
      <c r="K58" s="6"/>
      <c r="L58" s="6"/>
      <c r="M58" s="6"/>
      <c r="N58" s="6"/>
    </row>
    <row r="59">
      <c r="B59" s="241" t="s">
        <v>61</v>
      </c>
      <c r="C59" s="242">
        <f>'P&amp;L факт'!C52</f>
        <v>3.5</v>
      </c>
      <c r="J59" s="6"/>
      <c r="K59" s="6"/>
      <c r="L59" s="6"/>
      <c r="M59" s="6"/>
      <c r="N59" s="6"/>
    </row>
    <row r="60">
      <c r="B60" s="243" t="s">
        <v>63</v>
      </c>
      <c r="C60" s="242">
        <f>'P&amp;L факт'!C54</f>
        <v>0.1835</v>
      </c>
      <c r="J60" s="68"/>
      <c r="K60" s="68"/>
      <c r="L60" s="68"/>
      <c r="M60" s="68"/>
      <c r="N60" s="68"/>
    </row>
    <row r="61">
      <c r="B61" s="241" t="s">
        <v>140</v>
      </c>
      <c r="C61" s="265">
        <f>'P&amp;L факт'!C55/9</f>
        <v>8.118888889</v>
      </c>
      <c r="D61" s="266"/>
      <c r="E61" s="266"/>
      <c r="F61" s="266"/>
      <c r="G61" s="266"/>
      <c r="H61" s="266"/>
      <c r="I61" s="266"/>
      <c r="J61" s="6"/>
      <c r="K61" s="6"/>
      <c r="L61" s="6"/>
      <c r="M61" s="6"/>
      <c r="N61" s="6"/>
    </row>
    <row r="62">
      <c r="B62" s="241" t="s">
        <v>65</v>
      </c>
      <c r="C62" s="242">
        <f>'P&amp;L факт'!C56/6</f>
        <v>0.09222222222</v>
      </c>
      <c r="J62" s="6"/>
      <c r="K62" s="6"/>
      <c r="L62" s="6"/>
      <c r="M62" s="6"/>
      <c r="N62" s="6"/>
    </row>
    <row r="63">
      <c r="A63" s="137"/>
      <c r="B63" s="243" t="s">
        <v>66</v>
      </c>
      <c r="C63" s="244">
        <f>124/180*2.5/8</f>
        <v>0.2152777778</v>
      </c>
      <c r="D63" s="137"/>
      <c r="E63" s="137"/>
      <c r="F63" s="137"/>
      <c r="G63" s="137"/>
      <c r="H63" s="137"/>
      <c r="I63" s="137"/>
      <c r="J63" s="68"/>
      <c r="K63" s="68"/>
      <c r="L63" s="68"/>
      <c r="M63" s="68"/>
      <c r="N63" s="68"/>
    </row>
    <row r="64">
      <c r="A64" s="240" t="s">
        <v>67</v>
      </c>
      <c r="B64" s="246" t="s">
        <v>68</v>
      </c>
      <c r="C64" s="242">
        <f>'P&amp;L факт'!C58</f>
        <v>38.83666062</v>
      </c>
      <c r="J64" s="6"/>
      <c r="K64" s="6"/>
      <c r="L64" s="6"/>
      <c r="M64" s="6"/>
      <c r="N64" s="6"/>
    </row>
    <row r="65">
      <c r="B65" s="247" t="s">
        <v>69</v>
      </c>
      <c r="C65" s="242">
        <f>'P&amp;L факт'!C59</f>
        <v>19.97090909</v>
      </c>
      <c r="J65" s="6"/>
      <c r="K65" s="6"/>
      <c r="L65" s="6"/>
      <c r="M65" s="6"/>
      <c r="N65" s="6"/>
    </row>
    <row r="66">
      <c r="B66" s="247" t="s">
        <v>70</v>
      </c>
      <c r="C66" s="242">
        <f>'P&amp;L факт'!C60</f>
        <v>15.97818182</v>
      </c>
      <c r="J66" s="6"/>
      <c r="K66" s="6"/>
      <c r="L66" s="6"/>
      <c r="M66" s="6"/>
      <c r="N66" s="6"/>
    </row>
    <row r="67">
      <c r="B67" s="248" t="s">
        <v>73</v>
      </c>
      <c r="C67" s="242">
        <f>'P&amp;L факт'!C63</f>
        <v>88.8018018</v>
      </c>
      <c r="J67" s="6"/>
      <c r="K67" s="6"/>
      <c r="L67" s="6"/>
      <c r="M67" s="6"/>
      <c r="N67" s="6"/>
    </row>
    <row r="68">
      <c r="B68" s="249" t="s">
        <v>74</v>
      </c>
      <c r="C68" s="244">
        <f>'P&amp;L факт'!C64</f>
        <v>212.7272727</v>
      </c>
      <c r="D68" s="137"/>
      <c r="E68" s="137"/>
      <c r="F68" s="137"/>
      <c r="G68" s="137"/>
      <c r="H68" s="137"/>
      <c r="I68" s="137"/>
      <c r="J68" s="68"/>
      <c r="K68" s="68"/>
      <c r="L68" s="68"/>
      <c r="M68" s="68"/>
      <c r="N68" s="68"/>
    </row>
    <row r="69">
      <c r="A69" s="267" t="s">
        <v>141</v>
      </c>
      <c r="B69" s="241" t="s">
        <v>142</v>
      </c>
      <c r="C69" s="242">
        <f>'P&amp;L факт'!C65/500</f>
        <v>27.004</v>
      </c>
      <c r="J69" s="6"/>
      <c r="K69" s="6"/>
      <c r="L69" s="6"/>
      <c r="M69" s="6"/>
      <c r="N69" s="6"/>
    </row>
    <row r="70">
      <c r="B70" s="241" t="s">
        <v>143</v>
      </c>
      <c r="C70" s="242">
        <v>0.0</v>
      </c>
      <c r="J70" s="6"/>
      <c r="K70" s="6"/>
      <c r="L70" s="6"/>
      <c r="M70" s="6"/>
      <c r="N70" s="6"/>
    </row>
    <row r="71">
      <c r="A71" s="240"/>
      <c r="B71" s="241"/>
      <c r="C71" s="268"/>
      <c r="D71" s="269"/>
      <c r="E71" s="270"/>
      <c r="F71" s="271"/>
      <c r="G71" s="272"/>
      <c r="H71" s="273"/>
      <c r="I71" s="274"/>
      <c r="J71" s="6"/>
      <c r="K71" s="6"/>
      <c r="L71" s="6"/>
      <c r="M71" s="6"/>
      <c r="N71" s="6"/>
    </row>
    <row r="72">
      <c r="A72" s="240"/>
      <c r="B72" s="241"/>
      <c r="C72" s="275"/>
      <c r="D72" s="276"/>
      <c r="E72" s="277"/>
      <c r="F72" s="271"/>
      <c r="G72" s="272"/>
      <c r="H72" s="273"/>
      <c r="I72" s="274"/>
      <c r="J72" s="6"/>
      <c r="K72" s="6"/>
      <c r="L72" s="6"/>
      <c r="M72" s="6"/>
      <c r="N72" s="6"/>
    </row>
    <row r="73">
      <c r="A73" s="240"/>
      <c r="B73" s="241"/>
      <c r="C73" s="275"/>
      <c r="D73" s="276"/>
      <c r="E73" s="277"/>
      <c r="F73" s="271"/>
      <c r="G73" s="272"/>
      <c r="H73" s="273"/>
      <c r="I73" s="274"/>
      <c r="J73" s="6"/>
      <c r="K73" s="6"/>
      <c r="L73" s="6"/>
      <c r="M73" s="6"/>
      <c r="N73" s="6"/>
    </row>
    <row r="74">
      <c r="A74" s="240"/>
      <c r="B74" s="241"/>
      <c r="C74" s="275"/>
      <c r="D74" s="276"/>
      <c r="E74" s="277"/>
      <c r="F74" s="271"/>
      <c r="G74" s="272"/>
      <c r="H74" s="273"/>
      <c r="I74" s="274"/>
      <c r="J74" s="6"/>
      <c r="K74" s="6"/>
      <c r="L74" s="6"/>
      <c r="M74" s="6"/>
      <c r="N74" s="6"/>
    </row>
    <row r="75">
      <c r="A75" s="240"/>
      <c r="B75" s="241"/>
      <c r="C75" s="278"/>
      <c r="D75" s="279"/>
      <c r="E75" s="280"/>
      <c r="F75" s="271"/>
      <c r="G75" s="272"/>
      <c r="H75" s="273"/>
      <c r="I75" s="274"/>
      <c r="J75" s="6"/>
      <c r="K75" s="6"/>
      <c r="L75" s="6"/>
      <c r="M75" s="6"/>
      <c r="N75" s="6"/>
    </row>
    <row r="76">
      <c r="A76" s="281"/>
      <c r="B76" s="282"/>
      <c r="C76" s="278"/>
      <c r="D76" s="279"/>
      <c r="E76" s="280"/>
      <c r="F76" s="271"/>
      <c r="G76" s="272"/>
      <c r="H76" s="273"/>
      <c r="I76" s="274"/>
      <c r="J76" s="6"/>
      <c r="K76" s="6"/>
      <c r="L76" s="6"/>
      <c r="M76" s="6"/>
      <c r="N76" s="6"/>
    </row>
    <row r="77">
      <c r="A77" s="281"/>
      <c r="B77" s="282"/>
      <c r="C77" s="278"/>
      <c r="D77" s="279"/>
      <c r="E77" s="280"/>
      <c r="F77" s="271"/>
      <c r="G77" s="272"/>
      <c r="H77" s="273"/>
      <c r="I77" s="274"/>
      <c r="J77" s="6"/>
      <c r="K77" s="6"/>
      <c r="L77" s="6"/>
      <c r="M77" s="6"/>
      <c r="N77" s="6"/>
    </row>
    <row r="78">
      <c r="A78" s="281"/>
      <c r="B78" s="282"/>
      <c r="C78" s="278"/>
      <c r="D78" s="279"/>
      <c r="E78" s="280"/>
      <c r="F78" s="271"/>
      <c r="G78" s="272"/>
      <c r="H78" s="273"/>
      <c r="I78" s="274"/>
      <c r="J78" s="6"/>
      <c r="K78" s="6"/>
      <c r="L78" s="6"/>
      <c r="M78" s="6"/>
      <c r="N78" s="6"/>
    </row>
    <row r="79">
      <c r="A79" s="240"/>
      <c r="B79" s="241"/>
      <c r="C79" s="275"/>
      <c r="D79" s="276"/>
      <c r="E79" s="277"/>
      <c r="F79" s="271"/>
      <c r="G79" s="272"/>
      <c r="H79" s="273"/>
      <c r="I79" s="274"/>
      <c r="J79" s="6"/>
      <c r="K79" s="6"/>
      <c r="L79" s="6"/>
      <c r="M79" s="6"/>
      <c r="N79" s="6"/>
    </row>
    <row r="80">
      <c r="A80" s="240"/>
      <c r="B80" s="241"/>
      <c r="C80" s="275"/>
      <c r="D80" s="276"/>
      <c r="E80" s="280"/>
      <c r="F80" s="271"/>
      <c r="G80" s="272"/>
      <c r="H80" s="273"/>
      <c r="I80" s="274"/>
      <c r="J80" s="6"/>
      <c r="K80" s="6"/>
      <c r="L80" s="6"/>
      <c r="M80" s="6"/>
      <c r="N80" s="6"/>
    </row>
    <row r="81">
      <c r="A81" s="240"/>
      <c r="B81" s="241"/>
      <c r="C81" s="275"/>
      <c r="D81" s="276"/>
      <c r="E81" s="277"/>
      <c r="F81" s="271"/>
      <c r="G81" s="272"/>
      <c r="H81" s="273"/>
      <c r="I81" s="274"/>
      <c r="J81" s="6"/>
      <c r="K81" s="6"/>
      <c r="L81" s="6"/>
      <c r="M81" s="6"/>
      <c r="N81" s="6"/>
    </row>
    <row r="82">
      <c r="A82" s="240"/>
      <c r="B82" s="283"/>
      <c r="C82" s="283"/>
      <c r="F82" s="271"/>
      <c r="G82" s="272"/>
      <c r="H82" s="273"/>
      <c r="I82" s="274"/>
      <c r="J82" s="6"/>
      <c r="K82" s="6"/>
      <c r="L82" s="6"/>
      <c r="M82" s="6"/>
      <c r="N82" s="6"/>
    </row>
    <row r="83">
      <c r="A83" s="240"/>
      <c r="B83" s="241"/>
      <c r="C83" s="268"/>
      <c r="D83" s="269"/>
      <c r="E83" s="270"/>
      <c r="F83" s="271"/>
      <c r="G83" s="272"/>
      <c r="H83" s="273"/>
      <c r="I83" s="274"/>
      <c r="J83" s="6"/>
      <c r="K83" s="6"/>
      <c r="L83" s="6"/>
      <c r="M83" s="6"/>
      <c r="N83" s="6"/>
    </row>
    <row r="84">
      <c r="A84" s="240"/>
      <c r="B84" s="241"/>
      <c r="C84" s="275"/>
      <c r="D84" s="276"/>
      <c r="E84" s="277"/>
      <c r="F84" s="271"/>
      <c r="G84" s="272"/>
      <c r="H84" s="273"/>
      <c r="I84" s="274"/>
      <c r="J84" s="6"/>
      <c r="K84" s="6"/>
      <c r="L84" s="6"/>
      <c r="M84" s="6"/>
      <c r="N84" s="6"/>
    </row>
    <row r="85">
      <c r="A85" s="240"/>
      <c r="B85" s="241"/>
      <c r="C85" s="275"/>
      <c r="D85" s="276"/>
      <c r="E85" s="277"/>
      <c r="F85" s="271"/>
      <c r="G85" s="272"/>
      <c r="H85" s="273"/>
      <c r="I85" s="274"/>
      <c r="J85" s="6"/>
      <c r="K85" s="6"/>
      <c r="L85" s="6"/>
      <c r="M85" s="6"/>
      <c r="N85" s="6"/>
    </row>
    <row r="86">
      <c r="A86" s="240"/>
      <c r="B86" s="241"/>
      <c r="C86" s="275"/>
      <c r="D86" s="276"/>
      <c r="E86" s="277"/>
      <c r="F86" s="271"/>
      <c r="G86" s="272"/>
      <c r="H86" s="273"/>
      <c r="I86" s="274"/>
      <c r="J86" s="6"/>
      <c r="K86" s="6"/>
      <c r="L86" s="6"/>
      <c r="M86" s="6"/>
      <c r="N86" s="6"/>
    </row>
    <row r="87">
      <c r="A87" s="240"/>
      <c r="B87" s="241"/>
      <c r="C87" s="278"/>
      <c r="D87" s="279"/>
      <c r="E87" s="280"/>
      <c r="F87" s="271"/>
      <c r="G87" s="272"/>
      <c r="H87" s="273"/>
      <c r="I87" s="274"/>
      <c r="J87" s="6"/>
      <c r="K87" s="6"/>
      <c r="L87" s="6"/>
      <c r="M87" s="6"/>
      <c r="N87" s="6"/>
    </row>
    <row r="88">
      <c r="A88" s="281"/>
      <c r="B88" s="282"/>
      <c r="C88" s="278"/>
      <c r="D88" s="279"/>
      <c r="E88" s="280"/>
      <c r="F88" s="271"/>
      <c r="G88" s="272"/>
      <c r="H88" s="273"/>
      <c r="I88" s="274"/>
      <c r="J88" s="6"/>
      <c r="K88" s="6"/>
      <c r="L88" s="6"/>
      <c r="M88" s="6"/>
      <c r="N88" s="6"/>
    </row>
    <row r="89">
      <c r="A89" s="281"/>
      <c r="B89" s="282"/>
      <c r="C89" s="278"/>
      <c r="D89" s="279"/>
      <c r="E89" s="280"/>
      <c r="F89" s="271"/>
      <c r="G89" s="272"/>
      <c r="H89" s="273"/>
      <c r="I89" s="274"/>
      <c r="J89" s="6"/>
      <c r="K89" s="6"/>
      <c r="L89" s="6"/>
      <c r="M89" s="6"/>
      <c r="N89" s="6"/>
    </row>
    <row r="90">
      <c r="A90" s="281"/>
      <c r="B90" s="282"/>
      <c r="C90" s="278"/>
      <c r="D90" s="279"/>
      <c r="E90" s="280"/>
      <c r="F90" s="271"/>
      <c r="G90" s="272"/>
      <c r="H90" s="273"/>
      <c r="I90" s="274"/>
      <c r="J90" s="6"/>
      <c r="K90" s="6"/>
      <c r="L90" s="6"/>
      <c r="M90" s="6"/>
      <c r="N90" s="6"/>
    </row>
    <row r="91">
      <c r="A91" s="240"/>
      <c r="B91" s="241"/>
      <c r="C91" s="275"/>
      <c r="D91" s="276"/>
      <c r="E91" s="277"/>
      <c r="F91" s="271"/>
      <c r="G91" s="272"/>
      <c r="H91" s="273"/>
      <c r="I91" s="274"/>
      <c r="J91" s="6"/>
      <c r="K91" s="6"/>
      <c r="L91" s="6"/>
      <c r="M91" s="6"/>
      <c r="N91" s="6"/>
    </row>
    <row r="92">
      <c r="A92" s="240"/>
      <c r="B92" s="241"/>
      <c r="C92" s="275"/>
      <c r="D92" s="276"/>
      <c r="E92" s="280"/>
      <c r="F92" s="271"/>
      <c r="G92" s="272"/>
      <c r="H92" s="273"/>
      <c r="I92" s="274"/>
      <c r="J92" s="6"/>
      <c r="K92" s="6"/>
      <c r="L92" s="6"/>
      <c r="M92" s="6"/>
      <c r="N92" s="6"/>
    </row>
    <row r="93">
      <c r="A93" s="240"/>
      <c r="B93" s="241"/>
      <c r="C93" s="275"/>
      <c r="D93" s="276"/>
      <c r="E93" s="277"/>
      <c r="F93" s="271"/>
      <c r="G93" s="272"/>
      <c r="H93" s="273"/>
      <c r="I93" s="274"/>
      <c r="J93" s="6"/>
      <c r="K93" s="6"/>
      <c r="L93" s="6"/>
      <c r="M93" s="6"/>
      <c r="N93" s="6"/>
    </row>
    <row r="94">
      <c r="A94" s="240"/>
      <c r="B94" s="283"/>
      <c r="C94" s="283"/>
      <c r="F94" s="271"/>
      <c r="G94" s="272"/>
      <c r="H94" s="273"/>
      <c r="I94" s="274"/>
      <c r="J94" s="6"/>
      <c r="K94" s="6"/>
      <c r="L94" s="6"/>
      <c r="M94" s="6"/>
      <c r="N94" s="6"/>
    </row>
    <row r="95">
      <c r="A95" s="281"/>
      <c r="B95" s="282"/>
      <c r="C95" s="274"/>
      <c r="D95" s="269"/>
      <c r="E95" s="270"/>
      <c r="F95" s="271"/>
      <c r="G95" s="272"/>
      <c r="H95" s="273"/>
      <c r="I95" s="274"/>
      <c r="J95" s="6"/>
      <c r="K95" s="6"/>
      <c r="L95" s="6"/>
      <c r="M95" s="6"/>
      <c r="N95" s="6"/>
    </row>
    <row r="96">
      <c r="A96" s="281"/>
      <c r="B96" s="282"/>
      <c r="C96" s="275"/>
      <c r="D96" s="276"/>
      <c r="E96" s="277"/>
      <c r="F96" s="271"/>
      <c r="G96" s="272"/>
      <c r="H96" s="273"/>
      <c r="I96" s="274"/>
      <c r="J96" s="6"/>
      <c r="K96" s="6"/>
      <c r="L96" s="6"/>
      <c r="M96" s="6"/>
      <c r="N96" s="6"/>
    </row>
    <row r="97">
      <c r="A97" s="281"/>
      <c r="B97" s="282"/>
      <c r="C97" s="275"/>
      <c r="D97" s="276"/>
      <c r="E97" s="277"/>
      <c r="F97" s="271"/>
      <c r="G97" s="272"/>
      <c r="H97" s="273"/>
      <c r="I97" s="274"/>
      <c r="J97" s="6"/>
      <c r="K97" s="6"/>
      <c r="L97" s="6"/>
      <c r="M97" s="6"/>
      <c r="N97" s="6"/>
    </row>
    <row r="98">
      <c r="A98" s="281"/>
      <c r="B98" s="282"/>
      <c r="C98" s="275"/>
      <c r="D98" s="276"/>
      <c r="E98" s="277"/>
      <c r="F98" s="271"/>
      <c r="G98" s="272"/>
      <c r="H98" s="273"/>
      <c r="I98" s="274"/>
      <c r="J98" s="6"/>
      <c r="K98" s="6"/>
      <c r="L98" s="6"/>
      <c r="M98" s="6"/>
      <c r="N98" s="6"/>
    </row>
    <row r="99">
      <c r="A99" s="281"/>
      <c r="B99" s="282"/>
      <c r="C99" s="278"/>
      <c r="D99" s="279"/>
      <c r="E99" s="280"/>
      <c r="F99" s="271"/>
      <c r="G99" s="272"/>
      <c r="H99" s="273"/>
      <c r="I99" s="274"/>
      <c r="J99" s="6"/>
      <c r="K99" s="6"/>
      <c r="L99" s="6"/>
      <c r="M99" s="6"/>
      <c r="N99" s="6"/>
    </row>
    <row r="100">
      <c r="A100" s="281"/>
      <c r="B100" s="282"/>
      <c r="C100" s="278"/>
      <c r="D100" s="279"/>
      <c r="E100" s="280"/>
      <c r="F100" s="271"/>
      <c r="G100" s="272"/>
      <c r="H100" s="273"/>
      <c r="I100" s="274"/>
      <c r="J100" s="6"/>
      <c r="K100" s="6"/>
      <c r="L100" s="6"/>
      <c r="M100" s="6"/>
      <c r="N100" s="6"/>
    </row>
    <row r="101">
      <c r="A101" s="281"/>
      <c r="B101" s="282"/>
      <c r="C101" s="278"/>
      <c r="D101" s="279"/>
      <c r="E101" s="280"/>
      <c r="F101" s="271"/>
      <c r="G101" s="272"/>
      <c r="H101" s="273"/>
      <c r="I101" s="274"/>
      <c r="J101" s="6"/>
      <c r="K101" s="6"/>
      <c r="L101" s="6"/>
      <c r="M101" s="6"/>
      <c r="N101" s="6"/>
    </row>
    <row r="102">
      <c r="A102" s="281"/>
      <c r="B102" s="282"/>
      <c r="C102" s="278"/>
      <c r="D102" s="279"/>
      <c r="E102" s="280"/>
      <c r="F102" s="271"/>
      <c r="G102" s="272"/>
      <c r="H102" s="273"/>
      <c r="I102" s="274"/>
      <c r="J102" s="6"/>
      <c r="K102" s="6"/>
      <c r="L102" s="6"/>
      <c r="M102" s="6"/>
      <c r="N102" s="6"/>
    </row>
    <row r="103">
      <c r="A103" s="281"/>
      <c r="B103" s="282"/>
      <c r="C103" s="275"/>
      <c r="D103" s="276"/>
      <c r="E103" s="277"/>
      <c r="F103" s="271"/>
      <c r="G103" s="272"/>
      <c r="H103" s="273"/>
      <c r="I103" s="274"/>
      <c r="J103" s="6"/>
      <c r="K103" s="6"/>
      <c r="L103" s="6"/>
      <c r="M103" s="6"/>
      <c r="N103" s="6"/>
    </row>
    <row r="104">
      <c r="A104" s="281"/>
      <c r="B104" s="282"/>
      <c r="C104" s="275"/>
      <c r="D104" s="276"/>
      <c r="E104" s="280"/>
      <c r="F104" s="271"/>
      <c r="G104" s="272"/>
      <c r="H104" s="273"/>
      <c r="I104" s="274"/>
      <c r="J104" s="6"/>
      <c r="K104" s="6"/>
      <c r="L104" s="6"/>
      <c r="M104" s="6"/>
      <c r="N104" s="6"/>
    </row>
    <row r="105">
      <c r="A105" s="281"/>
      <c r="B105" s="282"/>
      <c r="C105" s="275"/>
      <c r="D105" s="276"/>
      <c r="E105" s="277"/>
      <c r="F105" s="271"/>
      <c r="G105" s="272"/>
      <c r="H105" s="273"/>
      <c r="I105" s="274"/>
      <c r="J105" s="6"/>
      <c r="K105" s="6"/>
      <c r="L105" s="6"/>
      <c r="M105" s="6"/>
      <c r="N105" s="6"/>
    </row>
    <row r="106">
      <c r="A106" s="240"/>
      <c r="B106" s="283"/>
      <c r="C106" s="283"/>
      <c r="F106" s="271"/>
      <c r="G106" s="272"/>
      <c r="H106" s="273"/>
      <c r="I106" s="274"/>
      <c r="J106" s="6"/>
      <c r="K106" s="6"/>
      <c r="L106" s="6"/>
      <c r="M106" s="6"/>
      <c r="N106" s="6"/>
    </row>
    <row r="107">
      <c r="A107" s="281"/>
      <c r="B107" s="282"/>
      <c r="C107" s="274"/>
      <c r="D107" s="269"/>
      <c r="E107" s="270"/>
      <c r="F107" s="271"/>
      <c r="G107" s="272"/>
      <c r="H107" s="273"/>
      <c r="I107" s="274"/>
      <c r="J107" s="6"/>
      <c r="K107" s="6"/>
      <c r="L107" s="6"/>
      <c r="M107" s="6"/>
      <c r="N107" s="6"/>
    </row>
    <row r="108">
      <c r="A108" s="281"/>
      <c r="B108" s="282"/>
      <c r="C108" s="275"/>
      <c r="D108" s="276"/>
      <c r="E108" s="277"/>
      <c r="F108" s="271"/>
      <c r="G108" s="272"/>
      <c r="H108" s="273"/>
      <c r="I108" s="274"/>
      <c r="J108" s="6"/>
      <c r="K108" s="6"/>
      <c r="L108" s="6"/>
      <c r="M108" s="6"/>
      <c r="N108" s="6"/>
    </row>
    <row r="109">
      <c r="A109" s="281"/>
      <c r="B109" s="282"/>
      <c r="C109" s="275"/>
      <c r="D109" s="276"/>
      <c r="E109" s="277"/>
      <c r="F109" s="271"/>
      <c r="G109" s="272"/>
      <c r="H109" s="273"/>
      <c r="I109" s="274"/>
      <c r="J109" s="6"/>
      <c r="K109" s="6"/>
      <c r="L109" s="6"/>
      <c r="M109" s="6"/>
      <c r="N109" s="6"/>
    </row>
    <row r="110">
      <c r="A110" s="281"/>
      <c r="B110" s="282"/>
      <c r="C110" s="275"/>
      <c r="D110" s="276"/>
      <c r="E110" s="277"/>
      <c r="F110" s="271"/>
      <c r="G110" s="272"/>
      <c r="H110" s="273"/>
      <c r="I110" s="274"/>
      <c r="J110" s="6"/>
      <c r="K110" s="6"/>
      <c r="L110" s="6"/>
      <c r="M110" s="6"/>
      <c r="N110" s="6"/>
    </row>
    <row r="111">
      <c r="A111" s="281"/>
      <c r="B111" s="282"/>
      <c r="C111" s="278"/>
      <c r="D111" s="279"/>
      <c r="E111" s="280"/>
      <c r="F111" s="271"/>
      <c r="G111" s="272"/>
      <c r="H111" s="273"/>
      <c r="I111" s="274"/>
      <c r="J111" s="6"/>
      <c r="K111" s="6"/>
      <c r="L111" s="6"/>
      <c r="M111" s="6"/>
      <c r="N111" s="6"/>
    </row>
    <row r="112">
      <c r="A112" s="281"/>
      <c r="B112" s="282"/>
      <c r="C112" s="278"/>
      <c r="D112" s="279"/>
      <c r="E112" s="280"/>
      <c r="F112" s="271"/>
      <c r="G112" s="272"/>
      <c r="H112" s="273"/>
      <c r="I112" s="274"/>
      <c r="J112" s="6"/>
      <c r="K112" s="6"/>
      <c r="L112" s="6"/>
      <c r="M112" s="6"/>
      <c r="N112" s="6"/>
    </row>
    <row r="113">
      <c r="A113" s="281"/>
      <c r="B113" s="282"/>
      <c r="C113" s="278"/>
      <c r="D113" s="279"/>
      <c r="E113" s="280"/>
      <c r="F113" s="271"/>
      <c r="G113" s="272"/>
      <c r="H113" s="273"/>
      <c r="I113" s="274"/>
      <c r="J113" s="6"/>
      <c r="K113" s="6"/>
      <c r="L113" s="6"/>
      <c r="M113" s="6"/>
      <c r="N113" s="6"/>
    </row>
    <row r="114">
      <c r="A114" s="281"/>
      <c r="B114" s="282"/>
      <c r="C114" s="278"/>
      <c r="D114" s="279"/>
      <c r="E114" s="280"/>
      <c r="F114" s="271"/>
      <c r="G114" s="272"/>
      <c r="H114" s="273"/>
      <c r="I114" s="274"/>
      <c r="J114" s="6"/>
      <c r="K114" s="6"/>
      <c r="L114" s="6"/>
      <c r="M114" s="6"/>
      <c r="N114" s="6"/>
    </row>
    <row r="115">
      <c r="A115" s="281"/>
      <c r="B115" s="282"/>
      <c r="C115" s="275"/>
      <c r="D115" s="276"/>
      <c r="E115" s="277"/>
      <c r="F115" s="271"/>
      <c r="G115" s="272"/>
      <c r="H115" s="273"/>
      <c r="I115" s="274"/>
      <c r="J115" s="6"/>
      <c r="K115" s="6"/>
      <c r="L115" s="6"/>
      <c r="M115" s="6"/>
      <c r="N115" s="6"/>
    </row>
    <row r="116">
      <c r="A116" s="281"/>
      <c r="B116" s="282"/>
      <c r="C116" s="275"/>
      <c r="D116" s="276"/>
      <c r="E116" s="280"/>
      <c r="F116" s="271"/>
      <c r="G116" s="272"/>
      <c r="H116" s="273"/>
      <c r="I116" s="274"/>
      <c r="J116" s="6"/>
      <c r="K116" s="6"/>
      <c r="L116" s="6"/>
      <c r="M116" s="6"/>
      <c r="N116" s="6"/>
    </row>
    <row r="117">
      <c r="A117" s="281"/>
      <c r="B117" s="282"/>
      <c r="C117" s="275"/>
      <c r="D117" s="276"/>
      <c r="E117" s="277"/>
      <c r="F117" s="271"/>
      <c r="G117" s="272"/>
      <c r="H117" s="273"/>
      <c r="I117" s="274"/>
      <c r="J117" s="6"/>
      <c r="K117" s="6"/>
      <c r="L117" s="6"/>
      <c r="M117" s="6"/>
      <c r="N117" s="6"/>
    </row>
    <row r="118">
      <c r="A118" s="281"/>
      <c r="B118" s="282"/>
      <c r="C118" s="278"/>
      <c r="D118" s="284"/>
      <c r="E118" s="285"/>
      <c r="F118" s="271"/>
      <c r="G118" s="272"/>
      <c r="H118" s="273"/>
      <c r="I118" s="274"/>
      <c r="J118" s="6"/>
      <c r="K118" s="6"/>
      <c r="L118" s="6"/>
      <c r="M118" s="6"/>
      <c r="N118" s="6"/>
    </row>
    <row r="119">
      <c r="A119" s="281"/>
      <c r="B119" s="282"/>
      <c r="C119" s="278"/>
      <c r="D119" s="284"/>
      <c r="E119" s="285"/>
      <c r="F119" s="271"/>
      <c r="G119" s="272"/>
      <c r="H119" s="273"/>
      <c r="I119" s="274"/>
      <c r="J119" s="6"/>
      <c r="K119" s="6"/>
      <c r="L119" s="6"/>
      <c r="M119" s="6"/>
      <c r="N119" s="6"/>
    </row>
    <row r="120">
      <c r="A120" s="281"/>
      <c r="B120" s="282"/>
      <c r="C120" s="278"/>
      <c r="D120" s="284"/>
      <c r="E120" s="285"/>
      <c r="F120" s="271"/>
      <c r="G120" s="272"/>
      <c r="H120" s="273"/>
      <c r="I120" s="274"/>
      <c r="J120" s="6"/>
      <c r="K120" s="6"/>
      <c r="L120" s="6"/>
      <c r="M120" s="6"/>
      <c r="N120" s="6"/>
    </row>
    <row r="121">
      <c r="A121" s="281"/>
      <c r="B121" s="282"/>
      <c r="C121" s="278"/>
      <c r="D121" s="284"/>
      <c r="E121" s="285"/>
      <c r="F121" s="271"/>
      <c r="G121" s="272"/>
      <c r="H121" s="273"/>
      <c r="I121" s="274"/>
      <c r="J121" s="6"/>
      <c r="K121" s="6"/>
      <c r="L121" s="6"/>
      <c r="M121" s="6"/>
      <c r="N121" s="6"/>
    </row>
    <row r="122">
      <c r="A122" s="281"/>
      <c r="B122" s="282"/>
      <c r="C122" s="278"/>
      <c r="D122" s="284"/>
      <c r="E122" s="285"/>
      <c r="F122" s="271"/>
      <c r="G122" s="272"/>
      <c r="H122" s="273"/>
      <c r="I122" s="274"/>
      <c r="J122" s="6"/>
      <c r="K122" s="6"/>
      <c r="L122" s="6"/>
      <c r="M122" s="6"/>
      <c r="N122" s="6"/>
    </row>
    <row r="123">
      <c r="A123" s="281"/>
      <c r="B123" s="282"/>
      <c r="C123" s="278"/>
      <c r="D123" s="284"/>
      <c r="E123" s="285"/>
      <c r="F123" s="271"/>
      <c r="G123" s="272"/>
      <c r="H123" s="273"/>
      <c r="I123" s="274"/>
      <c r="J123" s="6"/>
      <c r="K123" s="6"/>
      <c r="L123" s="6"/>
      <c r="M123" s="6"/>
      <c r="N123" s="6"/>
    </row>
    <row r="124">
      <c r="A124" s="281"/>
      <c r="B124" s="282"/>
      <c r="C124" s="278"/>
      <c r="D124" s="284"/>
      <c r="E124" s="285"/>
      <c r="F124" s="271"/>
      <c r="G124" s="272"/>
      <c r="H124" s="273"/>
      <c r="I124" s="274"/>
      <c r="J124" s="6"/>
      <c r="K124" s="6"/>
      <c r="L124" s="6"/>
      <c r="M124" s="6"/>
      <c r="N124" s="6"/>
    </row>
    <row r="125">
      <c r="A125" s="281"/>
      <c r="B125" s="282"/>
      <c r="C125" s="278"/>
      <c r="D125" s="284"/>
      <c r="E125" s="285"/>
      <c r="F125" s="271"/>
      <c r="G125" s="272"/>
      <c r="H125" s="273"/>
      <c r="I125" s="274"/>
      <c r="J125" s="6"/>
      <c r="K125" s="6"/>
      <c r="L125" s="6"/>
      <c r="M125" s="6"/>
      <c r="N125" s="6"/>
    </row>
    <row r="126">
      <c r="A126" s="281"/>
      <c r="B126" s="282"/>
      <c r="C126" s="278"/>
      <c r="D126" s="284"/>
      <c r="E126" s="285"/>
      <c r="F126" s="271"/>
      <c r="G126" s="272"/>
      <c r="H126" s="273"/>
      <c r="I126" s="274"/>
      <c r="J126" s="6"/>
      <c r="K126" s="6"/>
      <c r="L126" s="6"/>
      <c r="M126" s="6"/>
      <c r="N126" s="6"/>
    </row>
    <row r="127">
      <c r="A127" s="281"/>
      <c r="B127" s="282"/>
      <c r="C127" s="278"/>
      <c r="D127" s="284"/>
      <c r="E127" s="285"/>
      <c r="F127" s="271"/>
      <c r="G127" s="272"/>
      <c r="H127" s="273"/>
      <c r="I127" s="274"/>
      <c r="J127" s="6"/>
      <c r="K127" s="6"/>
      <c r="L127" s="6"/>
      <c r="M127" s="6"/>
      <c r="N127" s="6"/>
    </row>
    <row r="128">
      <c r="A128" s="281"/>
      <c r="B128" s="282"/>
      <c r="C128" s="278"/>
      <c r="D128" s="284"/>
      <c r="E128" s="285"/>
      <c r="F128" s="271"/>
      <c r="G128" s="272"/>
      <c r="H128" s="273"/>
      <c r="I128" s="274"/>
      <c r="J128" s="6"/>
      <c r="K128" s="6"/>
      <c r="L128" s="6"/>
      <c r="M128" s="6"/>
      <c r="N128" s="6"/>
    </row>
    <row r="129">
      <c r="A129" s="281"/>
      <c r="B129" s="282"/>
      <c r="C129" s="278"/>
      <c r="D129" s="284"/>
      <c r="E129" s="285"/>
      <c r="F129" s="271"/>
      <c r="G129" s="272"/>
      <c r="H129" s="273"/>
      <c r="I129" s="274"/>
      <c r="J129" s="6"/>
      <c r="K129" s="6"/>
      <c r="L129" s="6"/>
      <c r="M129" s="6"/>
      <c r="N129" s="6"/>
    </row>
    <row r="130">
      <c r="A130" s="281"/>
      <c r="B130" s="282"/>
      <c r="C130" s="278"/>
      <c r="D130" s="284"/>
      <c r="E130" s="285"/>
      <c r="F130" s="271"/>
      <c r="G130" s="272"/>
      <c r="H130" s="273"/>
      <c r="I130" s="274"/>
      <c r="J130" s="6"/>
      <c r="K130" s="6"/>
      <c r="L130" s="6"/>
      <c r="M130" s="6"/>
      <c r="N130" s="6"/>
    </row>
    <row r="131">
      <c r="A131" s="281"/>
      <c r="B131" s="282"/>
      <c r="C131" s="278"/>
      <c r="D131" s="284"/>
      <c r="E131" s="285"/>
      <c r="F131" s="271"/>
      <c r="G131" s="272"/>
      <c r="H131" s="273"/>
      <c r="I131" s="274"/>
      <c r="J131" s="6"/>
      <c r="K131" s="6"/>
      <c r="L131" s="6"/>
      <c r="M131" s="6"/>
      <c r="N131" s="6"/>
    </row>
    <row r="132">
      <c r="A132" s="281"/>
      <c r="B132" s="282"/>
      <c r="C132" s="278"/>
      <c r="D132" s="284"/>
      <c r="E132" s="285"/>
      <c r="F132" s="271"/>
      <c r="G132" s="272"/>
      <c r="H132" s="273"/>
      <c r="I132" s="274"/>
      <c r="J132" s="6"/>
      <c r="K132" s="6"/>
      <c r="L132" s="6"/>
      <c r="M132" s="6"/>
      <c r="N132" s="6"/>
    </row>
    <row r="133">
      <c r="A133" s="281"/>
      <c r="B133" s="282"/>
      <c r="C133" s="278"/>
      <c r="D133" s="284"/>
      <c r="E133" s="285"/>
      <c r="F133" s="271"/>
      <c r="G133" s="272"/>
      <c r="H133" s="273"/>
      <c r="I133" s="274"/>
      <c r="J133" s="6"/>
      <c r="K133" s="6"/>
      <c r="L133" s="6"/>
      <c r="M133" s="6"/>
      <c r="N133" s="6"/>
    </row>
    <row r="134">
      <c r="A134" s="281"/>
      <c r="B134" s="282"/>
      <c r="C134" s="278"/>
      <c r="D134" s="284"/>
      <c r="E134" s="285"/>
      <c r="F134" s="271"/>
      <c r="G134" s="272"/>
      <c r="H134" s="273"/>
      <c r="I134" s="274"/>
      <c r="J134" s="6"/>
      <c r="K134" s="6"/>
      <c r="L134" s="6"/>
      <c r="M134" s="6"/>
      <c r="N134" s="6"/>
    </row>
    <row r="135">
      <c r="A135" s="281"/>
      <c r="B135" s="282"/>
      <c r="C135" s="278"/>
      <c r="D135" s="284"/>
      <c r="E135" s="285"/>
      <c r="F135" s="271"/>
      <c r="G135" s="272"/>
      <c r="H135" s="273"/>
      <c r="I135" s="274"/>
      <c r="J135" s="6"/>
      <c r="K135" s="6"/>
      <c r="L135" s="6"/>
      <c r="M135" s="6"/>
      <c r="N135" s="6"/>
    </row>
    <row r="136">
      <c r="A136" s="281"/>
      <c r="B136" s="282"/>
      <c r="C136" s="278"/>
      <c r="D136" s="284"/>
      <c r="E136" s="285"/>
      <c r="F136" s="271"/>
      <c r="G136" s="272"/>
      <c r="H136" s="273"/>
      <c r="I136" s="274"/>
      <c r="J136" s="6"/>
      <c r="K136" s="6"/>
      <c r="L136" s="6"/>
      <c r="M136" s="6"/>
      <c r="N136" s="6"/>
    </row>
    <row r="137">
      <c r="A137" s="281"/>
      <c r="B137" s="282"/>
      <c r="C137" s="278"/>
      <c r="D137" s="284"/>
      <c r="E137" s="285"/>
      <c r="F137" s="271"/>
      <c r="G137" s="272"/>
      <c r="H137" s="273"/>
      <c r="I137" s="274"/>
      <c r="J137" s="6"/>
      <c r="K137" s="6"/>
      <c r="L137" s="6"/>
      <c r="M137" s="6"/>
      <c r="N137" s="6"/>
    </row>
    <row r="138">
      <c r="A138" s="281"/>
      <c r="B138" s="282"/>
      <c r="C138" s="278"/>
      <c r="D138" s="284"/>
      <c r="E138" s="285"/>
      <c r="F138" s="271"/>
      <c r="G138" s="272"/>
      <c r="H138" s="273"/>
      <c r="I138" s="274"/>
      <c r="J138" s="6"/>
      <c r="K138" s="6"/>
      <c r="L138" s="6"/>
      <c r="M138" s="6"/>
      <c r="N138" s="6"/>
    </row>
    <row r="139">
      <c r="A139" s="281"/>
      <c r="B139" s="282"/>
      <c r="C139" s="278"/>
      <c r="D139" s="284"/>
      <c r="E139" s="285"/>
      <c r="F139" s="271"/>
      <c r="G139" s="272"/>
      <c r="H139" s="273"/>
      <c r="I139" s="274"/>
      <c r="J139" s="6"/>
      <c r="K139" s="6"/>
      <c r="L139" s="6"/>
      <c r="M139" s="6"/>
      <c r="N139" s="6"/>
    </row>
    <row r="140">
      <c r="A140" s="281"/>
      <c r="B140" s="282"/>
      <c r="C140" s="278"/>
      <c r="D140" s="284"/>
      <c r="E140" s="285"/>
      <c r="F140" s="271"/>
      <c r="G140" s="272"/>
      <c r="H140" s="273"/>
      <c r="I140" s="274"/>
      <c r="J140" s="6"/>
      <c r="K140" s="6"/>
      <c r="L140" s="6"/>
      <c r="M140" s="6"/>
      <c r="N140" s="6"/>
    </row>
    <row r="141">
      <c r="A141" s="281"/>
      <c r="B141" s="282"/>
      <c r="C141" s="278"/>
      <c r="D141" s="284"/>
      <c r="E141" s="285"/>
      <c r="F141" s="271"/>
      <c r="G141" s="272"/>
      <c r="H141" s="273"/>
      <c r="I141" s="274"/>
      <c r="J141" s="6"/>
      <c r="K141" s="6"/>
      <c r="L141" s="6"/>
      <c r="M141" s="6"/>
      <c r="N141" s="6"/>
    </row>
    <row r="142">
      <c r="A142" s="281"/>
      <c r="B142" s="282"/>
      <c r="C142" s="278"/>
      <c r="D142" s="284"/>
      <c r="E142" s="285"/>
      <c r="F142" s="271"/>
      <c r="G142" s="272"/>
      <c r="H142" s="273"/>
      <c r="I142" s="274"/>
      <c r="J142" s="6"/>
      <c r="K142" s="6"/>
      <c r="L142" s="6"/>
      <c r="M142" s="6"/>
      <c r="N142" s="6"/>
    </row>
    <row r="143">
      <c r="A143" s="281"/>
      <c r="B143" s="282"/>
      <c r="C143" s="278"/>
      <c r="D143" s="284"/>
      <c r="E143" s="285"/>
      <c r="F143" s="271"/>
      <c r="G143" s="272"/>
      <c r="H143" s="273"/>
      <c r="I143" s="274"/>
      <c r="J143" s="6"/>
      <c r="K143" s="6"/>
      <c r="L143" s="6"/>
      <c r="M143" s="6"/>
      <c r="N143" s="6"/>
    </row>
    <row r="144">
      <c r="A144" s="281"/>
      <c r="B144" s="282"/>
      <c r="C144" s="278"/>
      <c r="D144" s="284"/>
      <c r="E144" s="285"/>
      <c r="F144" s="271"/>
      <c r="G144" s="272"/>
      <c r="H144" s="273"/>
      <c r="I144" s="274"/>
      <c r="J144" s="6"/>
      <c r="K144" s="6"/>
      <c r="L144" s="6"/>
      <c r="M144" s="6"/>
      <c r="N144" s="6"/>
    </row>
    <row r="145">
      <c r="A145" s="281"/>
      <c r="B145" s="282"/>
      <c r="C145" s="278"/>
      <c r="D145" s="284"/>
      <c r="E145" s="285"/>
      <c r="F145" s="271"/>
      <c r="G145" s="272"/>
      <c r="H145" s="273"/>
      <c r="I145" s="274"/>
      <c r="J145" s="6"/>
      <c r="K145" s="6"/>
      <c r="L145" s="6"/>
      <c r="M145" s="6"/>
      <c r="N145" s="6"/>
    </row>
    <row r="146">
      <c r="A146" s="281"/>
      <c r="B146" s="282"/>
      <c r="C146" s="278"/>
      <c r="D146" s="284"/>
      <c r="E146" s="285"/>
      <c r="F146" s="271"/>
      <c r="G146" s="272"/>
      <c r="H146" s="273"/>
      <c r="I146" s="274"/>
      <c r="J146" s="6"/>
      <c r="K146" s="6"/>
      <c r="L146" s="6"/>
      <c r="M146" s="6"/>
      <c r="N146" s="6"/>
    </row>
    <row r="147">
      <c r="A147" s="281"/>
      <c r="B147" s="282"/>
      <c r="C147" s="278"/>
      <c r="D147" s="284"/>
      <c r="E147" s="285"/>
      <c r="F147" s="271"/>
      <c r="G147" s="272"/>
      <c r="H147" s="273"/>
      <c r="I147" s="274"/>
      <c r="J147" s="6"/>
      <c r="K147" s="6"/>
      <c r="L147" s="6"/>
      <c r="M147" s="6"/>
      <c r="N147" s="6"/>
    </row>
    <row r="148">
      <c r="A148" s="281"/>
      <c r="B148" s="282"/>
      <c r="C148" s="278"/>
      <c r="D148" s="284"/>
      <c r="E148" s="285"/>
      <c r="F148" s="271"/>
      <c r="G148" s="272"/>
      <c r="H148" s="273"/>
      <c r="I148" s="274"/>
      <c r="J148" s="6"/>
      <c r="K148" s="6"/>
      <c r="L148" s="6"/>
      <c r="M148" s="6"/>
      <c r="N148" s="6"/>
    </row>
    <row r="149">
      <c r="A149" s="281"/>
      <c r="B149" s="282"/>
      <c r="C149" s="278"/>
      <c r="D149" s="284"/>
      <c r="E149" s="285"/>
      <c r="F149" s="271"/>
      <c r="G149" s="272"/>
      <c r="H149" s="273"/>
      <c r="I149" s="274"/>
      <c r="J149" s="6"/>
      <c r="K149" s="6"/>
      <c r="L149" s="6"/>
      <c r="M149" s="6"/>
      <c r="N149" s="6"/>
    </row>
    <row r="150">
      <c r="A150" s="281"/>
      <c r="B150" s="282"/>
      <c r="C150" s="278"/>
      <c r="D150" s="284"/>
      <c r="E150" s="285"/>
      <c r="F150" s="271"/>
      <c r="G150" s="272"/>
      <c r="H150" s="273"/>
      <c r="I150" s="274"/>
      <c r="J150" s="6"/>
      <c r="K150" s="6"/>
      <c r="L150" s="6"/>
      <c r="M150" s="6"/>
      <c r="N150" s="6"/>
    </row>
    <row r="151">
      <c r="A151" s="281"/>
      <c r="B151" s="282"/>
      <c r="C151" s="278"/>
      <c r="D151" s="284"/>
      <c r="E151" s="285"/>
      <c r="F151" s="271"/>
      <c r="G151" s="272"/>
      <c r="H151" s="273"/>
      <c r="I151" s="274"/>
      <c r="J151" s="6"/>
      <c r="K151" s="6"/>
      <c r="L151" s="6"/>
      <c r="M151" s="6"/>
      <c r="N151" s="6"/>
    </row>
    <row r="152">
      <c r="A152" s="281"/>
      <c r="B152" s="282"/>
      <c r="C152" s="278"/>
      <c r="D152" s="284"/>
      <c r="E152" s="285"/>
      <c r="F152" s="271"/>
      <c r="G152" s="272"/>
      <c r="H152" s="273"/>
      <c r="I152" s="274"/>
      <c r="J152" s="6"/>
      <c r="K152" s="6"/>
      <c r="L152" s="6"/>
      <c r="M152" s="6"/>
      <c r="N152" s="6"/>
    </row>
    <row r="153">
      <c r="A153" s="281"/>
      <c r="B153" s="282"/>
      <c r="C153" s="278"/>
      <c r="D153" s="284"/>
      <c r="E153" s="285"/>
      <c r="F153" s="271"/>
      <c r="G153" s="272"/>
      <c r="H153" s="273"/>
      <c r="I153" s="274"/>
      <c r="J153" s="6"/>
      <c r="K153" s="6"/>
      <c r="L153" s="6"/>
      <c r="M153" s="6"/>
      <c r="N153" s="6"/>
    </row>
    <row r="154">
      <c r="A154" s="281"/>
      <c r="B154" s="282"/>
      <c r="C154" s="278"/>
      <c r="D154" s="284"/>
      <c r="E154" s="285"/>
      <c r="F154" s="271"/>
      <c r="G154" s="272"/>
      <c r="H154" s="273"/>
      <c r="I154" s="274"/>
      <c r="J154" s="6"/>
      <c r="K154" s="6"/>
      <c r="L154" s="6"/>
      <c r="M154" s="6"/>
      <c r="N154" s="6"/>
    </row>
    <row r="155">
      <c r="A155" s="281"/>
      <c r="B155" s="282"/>
      <c r="C155" s="278"/>
      <c r="D155" s="284"/>
      <c r="E155" s="285"/>
      <c r="F155" s="271"/>
      <c r="G155" s="272"/>
      <c r="H155" s="273"/>
      <c r="I155" s="274"/>
      <c r="J155" s="6"/>
      <c r="K155" s="6"/>
      <c r="L155" s="6"/>
      <c r="M155" s="6"/>
      <c r="N155" s="6"/>
    </row>
    <row r="156">
      <c r="A156" s="281"/>
      <c r="B156" s="282"/>
      <c r="C156" s="278"/>
      <c r="D156" s="284"/>
      <c r="E156" s="285"/>
      <c r="F156" s="271"/>
      <c r="G156" s="272"/>
      <c r="H156" s="273"/>
      <c r="I156" s="274"/>
      <c r="J156" s="6"/>
      <c r="K156" s="6"/>
      <c r="L156" s="6"/>
      <c r="M156" s="6"/>
      <c r="N156" s="6"/>
    </row>
    <row r="157">
      <c r="A157" s="281"/>
      <c r="B157" s="282"/>
      <c r="C157" s="278"/>
      <c r="D157" s="284"/>
      <c r="E157" s="285"/>
      <c r="F157" s="271"/>
      <c r="G157" s="272"/>
      <c r="H157" s="273"/>
      <c r="I157" s="274"/>
      <c r="J157" s="6"/>
      <c r="K157" s="6"/>
      <c r="L157" s="6"/>
      <c r="M157" s="6"/>
      <c r="N157" s="6"/>
    </row>
    <row r="158">
      <c r="A158" s="281"/>
      <c r="B158" s="282"/>
      <c r="C158" s="278"/>
      <c r="D158" s="284"/>
      <c r="E158" s="285"/>
      <c r="F158" s="271"/>
      <c r="G158" s="272"/>
      <c r="H158" s="273"/>
      <c r="I158" s="274"/>
      <c r="J158" s="6"/>
      <c r="K158" s="6"/>
      <c r="L158" s="6"/>
      <c r="M158" s="6"/>
      <c r="N158" s="6"/>
    </row>
    <row r="159">
      <c r="A159" s="281"/>
      <c r="B159" s="282"/>
      <c r="C159" s="278"/>
      <c r="D159" s="284"/>
      <c r="E159" s="285"/>
      <c r="F159" s="271"/>
      <c r="G159" s="272"/>
      <c r="H159" s="273"/>
      <c r="I159" s="274"/>
      <c r="J159" s="6"/>
      <c r="K159" s="6"/>
      <c r="L159" s="6"/>
      <c r="M159" s="6"/>
      <c r="N159" s="6"/>
    </row>
    <row r="160">
      <c r="A160" s="281"/>
      <c r="B160" s="282"/>
      <c r="C160" s="278"/>
      <c r="D160" s="284"/>
      <c r="E160" s="285"/>
      <c r="F160" s="271"/>
      <c r="G160" s="272"/>
      <c r="H160" s="273"/>
      <c r="I160" s="274"/>
      <c r="J160" s="6"/>
      <c r="K160" s="6"/>
      <c r="L160" s="6"/>
      <c r="M160" s="6"/>
      <c r="N160" s="6"/>
    </row>
    <row r="161">
      <c r="A161" s="281"/>
      <c r="B161" s="282"/>
      <c r="C161" s="278"/>
      <c r="D161" s="284"/>
      <c r="E161" s="285"/>
      <c r="F161" s="271"/>
      <c r="G161" s="272"/>
      <c r="H161" s="273"/>
      <c r="I161" s="274"/>
      <c r="J161" s="6"/>
      <c r="K161" s="6"/>
      <c r="L161" s="6"/>
      <c r="M161" s="6"/>
      <c r="N161" s="6"/>
    </row>
    <row r="162">
      <c r="A162" s="281"/>
      <c r="B162" s="282"/>
      <c r="C162" s="278"/>
      <c r="D162" s="284"/>
      <c r="E162" s="285"/>
      <c r="F162" s="271"/>
      <c r="G162" s="272"/>
      <c r="H162" s="273"/>
      <c r="I162" s="274"/>
      <c r="J162" s="6"/>
      <c r="K162" s="6"/>
      <c r="L162" s="6"/>
      <c r="M162" s="6"/>
      <c r="N162" s="6"/>
    </row>
    <row r="163">
      <c r="A163" s="281"/>
      <c r="B163" s="282"/>
      <c r="C163" s="278"/>
      <c r="D163" s="284"/>
      <c r="E163" s="285"/>
      <c r="F163" s="271"/>
      <c r="G163" s="272"/>
      <c r="H163" s="273"/>
      <c r="I163" s="274"/>
      <c r="J163" s="6"/>
      <c r="K163" s="6"/>
      <c r="L163" s="6"/>
      <c r="M163" s="6"/>
      <c r="N163" s="6"/>
    </row>
    <row r="164">
      <c r="A164" s="281"/>
      <c r="B164" s="282"/>
      <c r="C164" s="278"/>
      <c r="D164" s="284"/>
      <c r="E164" s="285"/>
      <c r="F164" s="271"/>
      <c r="G164" s="272"/>
      <c r="H164" s="273"/>
      <c r="I164" s="274"/>
      <c r="J164" s="6"/>
      <c r="K164" s="6"/>
      <c r="L164" s="6"/>
      <c r="M164" s="6"/>
      <c r="N164" s="6"/>
    </row>
    <row r="165">
      <c r="A165" s="281"/>
      <c r="B165" s="282"/>
      <c r="C165" s="278"/>
      <c r="D165" s="284"/>
      <c r="E165" s="285"/>
      <c r="F165" s="271"/>
      <c r="G165" s="272"/>
      <c r="H165" s="273"/>
      <c r="I165" s="274"/>
      <c r="J165" s="6"/>
      <c r="K165" s="6"/>
      <c r="L165" s="6"/>
      <c r="M165" s="6"/>
      <c r="N165" s="6"/>
    </row>
    <row r="166">
      <c r="A166" s="281"/>
      <c r="B166" s="282"/>
      <c r="C166" s="278"/>
      <c r="D166" s="284"/>
      <c r="E166" s="285"/>
      <c r="F166" s="271"/>
      <c r="G166" s="272"/>
      <c r="H166" s="273"/>
      <c r="I166" s="274"/>
      <c r="J166" s="6"/>
      <c r="K166" s="6"/>
      <c r="L166" s="6"/>
      <c r="M166" s="6"/>
      <c r="N166" s="6"/>
    </row>
    <row r="167">
      <c r="A167" s="281"/>
      <c r="B167" s="282"/>
      <c r="C167" s="278"/>
      <c r="D167" s="284"/>
      <c r="E167" s="285"/>
      <c r="F167" s="271"/>
      <c r="G167" s="272"/>
      <c r="H167" s="273"/>
      <c r="I167" s="274"/>
      <c r="J167" s="6"/>
      <c r="K167" s="6"/>
      <c r="L167" s="6"/>
      <c r="M167" s="6"/>
      <c r="N167" s="6"/>
    </row>
    <row r="168">
      <c r="A168" s="281"/>
      <c r="B168" s="282"/>
      <c r="C168" s="278"/>
      <c r="D168" s="284"/>
      <c r="E168" s="285"/>
      <c r="F168" s="271"/>
      <c r="G168" s="272"/>
      <c r="H168" s="273"/>
      <c r="I168" s="274"/>
      <c r="J168" s="6"/>
      <c r="K168" s="6"/>
      <c r="L168" s="6"/>
      <c r="M168" s="6"/>
      <c r="N168" s="6"/>
    </row>
    <row r="169">
      <c r="A169" s="281"/>
      <c r="B169" s="282"/>
      <c r="C169" s="278"/>
      <c r="D169" s="284"/>
      <c r="E169" s="285"/>
      <c r="F169" s="271"/>
      <c r="G169" s="272"/>
      <c r="H169" s="273"/>
      <c r="I169" s="274"/>
      <c r="J169" s="6"/>
      <c r="K169" s="6"/>
      <c r="L169" s="6"/>
      <c r="M169" s="6"/>
      <c r="N169" s="6"/>
    </row>
    <row r="170">
      <c r="A170" s="281"/>
      <c r="B170" s="282"/>
      <c r="C170" s="278"/>
      <c r="D170" s="284"/>
      <c r="E170" s="285"/>
      <c r="F170" s="271"/>
      <c r="G170" s="272"/>
      <c r="H170" s="273"/>
      <c r="I170" s="274"/>
      <c r="J170" s="6"/>
      <c r="K170" s="6"/>
      <c r="L170" s="6"/>
      <c r="M170" s="6"/>
      <c r="N170" s="6"/>
    </row>
    <row r="171">
      <c r="A171" s="281"/>
      <c r="B171" s="282"/>
      <c r="C171" s="278"/>
      <c r="D171" s="284"/>
      <c r="E171" s="285"/>
      <c r="F171" s="271"/>
      <c r="G171" s="272"/>
      <c r="H171" s="273"/>
      <c r="I171" s="274"/>
      <c r="J171" s="6"/>
      <c r="K171" s="6"/>
      <c r="L171" s="6"/>
      <c r="M171" s="6"/>
      <c r="N171" s="6"/>
    </row>
    <row r="172">
      <c r="A172" s="281"/>
      <c r="B172" s="282"/>
      <c r="C172" s="278"/>
      <c r="D172" s="284"/>
      <c r="E172" s="285"/>
      <c r="F172" s="271"/>
      <c r="G172" s="272"/>
      <c r="H172" s="273"/>
      <c r="I172" s="274"/>
      <c r="J172" s="6"/>
      <c r="K172" s="6"/>
      <c r="L172" s="6"/>
      <c r="M172" s="6"/>
      <c r="N172" s="6"/>
    </row>
    <row r="173">
      <c r="A173" s="281"/>
      <c r="B173" s="282"/>
      <c r="C173" s="278"/>
      <c r="D173" s="284"/>
      <c r="E173" s="285"/>
      <c r="F173" s="271"/>
      <c r="G173" s="272"/>
      <c r="H173" s="273"/>
      <c r="I173" s="274"/>
      <c r="J173" s="6"/>
      <c r="K173" s="6"/>
      <c r="L173" s="6"/>
      <c r="M173" s="6"/>
      <c r="N173" s="6"/>
    </row>
    <row r="174">
      <c r="A174" s="281"/>
      <c r="B174" s="282"/>
      <c r="C174" s="278"/>
      <c r="D174" s="284"/>
      <c r="E174" s="285"/>
      <c r="F174" s="271"/>
      <c r="G174" s="272"/>
      <c r="H174" s="273"/>
      <c r="I174" s="274"/>
      <c r="J174" s="6"/>
      <c r="K174" s="6"/>
      <c r="L174" s="6"/>
      <c r="M174" s="6"/>
      <c r="N174" s="6"/>
    </row>
    <row r="175">
      <c r="A175" s="281"/>
      <c r="B175" s="282"/>
      <c r="C175" s="278"/>
      <c r="D175" s="284"/>
      <c r="E175" s="285"/>
      <c r="F175" s="271"/>
      <c r="G175" s="272"/>
      <c r="H175" s="273"/>
      <c r="I175" s="274"/>
      <c r="J175" s="6"/>
      <c r="K175" s="6"/>
      <c r="L175" s="6"/>
      <c r="M175" s="6"/>
      <c r="N175" s="6"/>
    </row>
    <row r="176">
      <c r="A176" s="281"/>
      <c r="B176" s="282"/>
      <c r="C176" s="278"/>
      <c r="D176" s="284"/>
      <c r="E176" s="285"/>
      <c r="F176" s="271"/>
      <c r="G176" s="272"/>
      <c r="H176" s="273"/>
      <c r="I176" s="274"/>
      <c r="J176" s="6"/>
      <c r="K176" s="6"/>
      <c r="L176" s="6"/>
      <c r="M176" s="6"/>
      <c r="N176" s="6"/>
    </row>
    <row r="177">
      <c r="A177" s="281"/>
      <c r="B177" s="282"/>
      <c r="C177" s="278"/>
      <c r="D177" s="284"/>
      <c r="E177" s="285"/>
      <c r="F177" s="271"/>
      <c r="G177" s="272"/>
      <c r="H177" s="273"/>
      <c r="I177" s="274"/>
      <c r="J177" s="6"/>
      <c r="K177" s="6"/>
      <c r="L177" s="6"/>
      <c r="M177" s="6"/>
      <c r="N177" s="6"/>
    </row>
    <row r="178">
      <c r="A178" s="281"/>
      <c r="B178" s="282"/>
      <c r="C178" s="278"/>
      <c r="D178" s="284"/>
      <c r="E178" s="285"/>
      <c r="F178" s="271"/>
      <c r="G178" s="272"/>
      <c r="H178" s="273"/>
      <c r="I178" s="274"/>
      <c r="J178" s="6"/>
      <c r="K178" s="6"/>
      <c r="L178" s="6"/>
      <c r="M178" s="6"/>
      <c r="N178" s="6"/>
    </row>
    <row r="179">
      <c r="A179" s="281"/>
      <c r="B179" s="282"/>
      <c r="C179" s="278"/>
      <c r="D179" s="284"/>
      <c r="E179" s="285"/>
      <c r="F179" s="271"/>
      <c r="G179" s="272"/>
      <c r="H179" s="273"/>
      <c r="I179" s="274"/>
      <c r="J179" s="6"/>
      <c r="K179" s="6"/>
      <c r="L179" s="6"/>
      <c r="M179" s="6"/>
      <c r="N179" s="6"/>
    </row>
    <row r="180">
      <c r="A180" s="281"/>
      <c r="B180" s="282"/>
      <c r="C180" s="278"/>
      <c r="D180" s="284"/>
      <c r="E180" s="285"/>
      <c r="F180" s="271"/>
      <c r="G180" s="272"/>
      <c r="H180" s="273"/>
      <c r="I180" s="274"/>
      <c r="J180" s="6"/>
      <c r="K180" s="6"/>
      <c r="L180" s="6"/>
      <c r="M180" s="6"/>
      <c r="N180" s="6"/>
    </row>
    <row r="181">
      <c r="A181" s="281"/>
      <c r="B181" s="282"/>
      <c r="C181" s="278"/>
      <c r="D181" s="284"/>
      <c r="E181" s="285"/>
      <c r="F181" s="271"/>
      <c r="G181" s="272"/>
      <c r="H181" s="273"/>
      <c r="I181" s="274"/>
      <c r="J181" s="6"/>
      <c r="K181" s="6"/>
      <c r="L181" s="6"/>
      <c r="M181" s="6"/>
      <c r="N181" s="6"/>
    </row>
    <row r="182">
      <c r="A182" s="281"/>
      <c r="B182" s="282"/>
      <c r="C182" s="278"/>
      <c r="D182" s="284"/>
      <c r="E182" s="285"/>
      <c r="F182" s="271"/>
      <c r="G182" s="272"/>
      <c r="H182" s="273"/>
      <c r="I182" s="274"/>
      <c r="J182" s="6"/>
      <c r="K182" s="6"/>
      <c r="L182" s="6"/>
      <c r="M182" s="6"/>
      <c r="N182" s="6"/>
    </row>
    <row r="183">
      <c r="A183" s="281"/>
      <c r="B183" s="282"/>
      <c r="C183" s="278"/>
      <c r="D183" s="284"/>
      <c r="E183" s="285"/>
      <c r="F183" s="271"/>
      <c r="G183" s="272"/>
      <c r="H183" s="273"/>
      <c r="I183" s="274"/>
      <c r="J183" s="6"/>
      <c r="K183" s="6"/>
      <c r="L183" s="6"/>
      <c r="M183" s="6"/>
      <c r="N183" s="6"/>
    </row>
    <row r="184">
      <c r="A184" s="281"/>
      <c r="B184" s="282"/>
      <c r="C184" s="278"/>
      <c r="D184" s="284"/>
      <c r="E184" s="285"/>
      <c r="F184" s="271"/>
      <c r="G184" s="272"/>
      <c r="H184" s="273"/>
      <c r="I184" s="274"/>
      <c r="J184" s="6"/>
      <c r="K184" s="6"/>
      <c r="L184" s="6"/>
      <c r="M184" s="6"/>
      <c r="N184" s="6"/>
    </row>
    <row r="185">
      <c r="A185" s="281"/>
      <c r="B185" s="282"/>
      <c r="C185" s="278"/>
      <c r="D185" s="284"/>
      <c r="E185" s="285"/>
      <c r="F185" s="271"/>
      <c r="G185" s="272"/>
      <c r="H185" s="273"/>
      <c r="I185" s="274"/>
      <c r="J185" s="6"/>
      <c r="K185" s="6"/>
      <c r="L185" s="6"/>
      <c r="M185" s="6"/>
      <c r="N185" s="6"/>
    </row>
    <row r="186">
      <c r="A186" s="281"/>
      <c r="B186" s="282"/>
      <c r="C186" s="278"/>
      <c r="D186" s="284"/>
      <c r="E186" s="285"/>
      <c r="F186" s="271"/>
      <c r="G186" s="272"/>
      <c r="H186" s="273"/>
      <c r="I186" s="274"/>
      <c r="J186" s="6"/>
      <c r="K186" s="6"/>
      <c r="L186" s="6"/>
      <c r="M186" s="6"/>
      <c r="N186" s="6"/>
    </row>
    <row r="187">
      <c r="A187" s="281"/>
      <c r="B187" s="282"/>
      <c r="C187" s="278"/>
      <c r="D187" s="284"/>
      <c r="E187" s="285"/>
      <c r="F187" s="271"/>
      <c r="G187" s="272"/>
      <c r="H187" s="273"/>
      <c r="I187" s="274"/>
      <c r="J187" s="6"/>
      <c r="K187" s="6"/>
      <c r="L187" s="6"/>
      <c r="M187" s="6"/>
      <c r="N187" s="6"/>
    </row>
    <row r="188">
      <c r="A188" s="281"/>
      <c r="B188" s="282"/>
      <c r="C188" s="278"/>
      <c r="D188" s="284"/>
      <c r="E188" s="285"/>
      <c r="F188" s="271"/>
      <c r="G188" s="272"/>
      <c r="H188" s="273"/>
      <c r="I188" s="274"/>
      <c r="J188" s="6"/>
      <c r="K188" s="6"/>
      <c r="L188" s="6"/>
      <c r="M188" s="6"/>
      <c r="N188" s="6"/>
    </row>
    <row r="189">
      <c r="A189" s="281"/>
      <c r="B189" s="282"/>
      <c r="C189" s="278"/>
      <c r="D189" s="284"/>
      <c r="E189" s="285"/>
      <c r="F189" s="271"/>
      <c r="G189" s="272"/>
      <c r="H189" s="273"/>
      <c r="I189" s="274"/>
      <c r="J189" s="6"/>
      <c r="K189" s="6"/>
      <c r="L189" s="6"/>
      <c r="M189" s="6"/>
      <c r="N189" s="6"/>
    </row>
    <row r="190">
      <c r="A190" s="281"/>
      <c r="B190" s="282"/>
      <c r="C190" s="278"/>
      <c r="D190" s="284"/>
      <c r="E190" s="285"/>
      <c r="F190" s="271"/>
      <c r="G190" s="272"/>
      <c r="H190" s="273"/>
      <c r="I190" s="274"/>
      <c r="J190" s="6"/>
      <c r="K190" s="6"/>
      <c r="L190" s="6"/>
      <c r="M190" s="6"/>
      <c r="N190" s="6"/>
    </row>
    <row r="191">
      <c r="A191" s="281"/>
      <c r="B191" s="282"/>
      <c r="C191" s="278"/>
      <c r="D191" s="284"/>
      <c r="E191" s="285"/>
      <c r="F191" s="271"/>
      <c r="G191" s="272"/>
      <c r="H191" s="273"/>
      <c r="I191" s="274"/>
      <c r="J191" s="6"/>
      <c r="K191" s="6"/>
      <c r="L191" s="6"/>
      <c r="M191" s="6"/>
      <c r="N191" s="6"/>
    </row>
    <row r="192">
      <c r="A192" s="281"/>
      <c r="B192" s="282"/>
      <c r="C192" s="278"/>
      <c r="D192" s="284"/>
      <c r="E192" s="285"/>
      <c r="F192" s="271"/>
      <c r="G192" s="272"/>
      <c r="H192" s="273"/>
      <c r="I192" s="274"/>
      <c r="J192" s="6"/>
      <c r="K192" s="6"/>
      <c r="L192" s="6"/>
      <c r="M192" s="6"/>
      <c r="N192" s="6"/>
    </row>
    <row r="193">
      <c r="A193" s="281"/>
      <c r="B193" s="282"/>
      <c r="C193" s="278"/>
      <c r="D193" s="284"/>
      <c r="E193" s="285"/>
      <c r="F193" s="271"/>
      <c r="G193" s="272"/>
      <c r="H193" s="273"/>
      <c r="I193" s="274"/>
      <c r="J193" s="6"/>
      <c r="K193" s="6"/>
      <c r="L193" s="6"/>
      <c r="M193" s="6"/>
      <c r="N193" s="6"/>
    </row>
    <row r="194">
      <c r="A194" s="281"/>
      <c r="B194" s="282"/>
      <c r="C194" s="278"/>
      <c r="D194" s="284"/>
      <c r="E194" s="285"/>
      <c r="F194" s="271"/>
      <c r="G194" s="272"/>
      <c r="H194" s="273"/>
      <c r="I194" s="274"/>
      <c r="J194" s="6"/>
      <c r="K194" s="6"/>
      <c r="L194" s="6"/>
      <c r="M194" s="6"/>
      <c r="N194" s="6"/>
    </row>
    <row r="195">
      <c r="A195" s="281"/>
      <c r="B195" s="282"/>
      <c r="C195" s="278"/>
      <c r="D195" s="284"/>
      <c r="E195" s="285"/>
      <c r="F195" s="271"/>
      <c r="G195" s="272"/>
      <c r="H195" s="273"/>
      <c r="I195" s="274"/>
      <c r="J195" s="6"/>
      <c r="K195" s="6"/>
      <c r="L195" s="6"/>
      <c r="M195" s="6"/>
      <c r="N195" s="6"/>
    </row>
    <row r="196">
      <c r="A196" s="281"/>
      <c r="B196" s="282"/>
      <c r="C196" s="278"/>
      <c r="D196" s="284"/>
      <c r="E196" s="285"/>
      <c r="F196" s="271"/>
      <c r="G196" s="272"/>
      <c r="H196" s="273"/>
      <c r="I196" s="274"/>
      <c r="J196" s="6"/>
      <c r="K196" s="6"/>
      <c r="L196" s="6"/>
      <c r="M196" s="6"/>
      <c r="N196" s="6"/>
    </row>
    <row r="197">
      <c r="A197" s="281"/>
      <c r="B197" s="282"/>
      <c r="C197" s="278"/>
      <c r="D197" s="284"/>
      <c r="E197" s="285"/>
      <c r="F197" s="271"/>
      <c r="G197" s="272"/>
      <c r="H197" s="273"/>
      <c r="I197" s="274"/>
      <c r="J197" s="6"/>
      <c r="K197" s="6"/>
      <c r="L197" s="6"/>
      <c r="M197" s="6"/>
      <c r="N197" s="6"/>
    </row>
    <row r="198">
      <c r="A198" s="281"/>
      <c r="B198" s="282"/>
      <c r="C198" s="278"/>
      <c r="D198" s="284"/>
      <c r="E198" s="285"/>
      <c r="F198" s="271"/>
      <c r="G198" s="272"/>
      <c r="H198" s="273"/>
      <c r="I198" s="274"/>
      <c r="J198" s="6"/>
      <c r="K198" s="6"/>
      <c r="L198" s="6"/>
      <c r="M198" s="6"/>
      <c r="N198" s="6"/>
    </row>
    <row r="199">
      <c r="A199" s="281"/>
      <c r="B199" s="282"/>
      <c r="C199" s="278"/>
      <c r="D199" s="284"/>
      <c r="E199" s="285"/>
      <c r="F199" s="271"/>
      <c r="G199" s="272"/>
      <c r="H199" s="273"/>
      <c r="I199" s="274"/>
      <c r="J199" s="6"/>
      <c r="K199" s="6"/>
      <c r="L199" s="6"/>
      <c r="M199" s="6"/>
      <c r="N199" s="6"/>
    </row>
    <row r="200">
      <c r="A200" s="281"/>
      <c r="B200" s="282"/>
      <c r="C200" s="278"/>
      <c r="D200" s="284"/>
      <c r="E200" s="285"/>
      <c r="F200" s="271"/>
      <c r="G200" s="272"/>
      <c r="H200" s="273"/>
      <c r="I200" s="274"/>
      <c r="J200" s="6"/>
      <c r="K200" s="6"/>
      <c r="L200" s="6"/>
      <c r="M200" s="6"/>
      <c r="N200" s="6"/>
    </row>
    <row r="201">
      <c r="A201" s="281"/>
      <c r="B201" s="282"/>
      <c r="C201" s="278"/>
      <c r="D201" s="284"/>
      <c r="E201" s="285"/>
      <c r="F201" s="271"/>
      <c r="G201" s="272"/>
      <c r="H201" s="273"/>
      <c r="I201" s="274"/>
      <c r="J201" s="6"/>
      <c r="K201" s="6"/>
      <c r="L201" s="6"/>
      <c r="M201" s="6"/>
      <c r="N201" s="6"/>
    </row>
    <row r="202">
      <c r="A202" s="281"/>
      <c r="B202" s="282"/>
      <c r="C202" s="278"/>
      <c r="D202" s="284"/>
      <c r="E202" s="285"/>
      <c r="F202" s="271"/>
      <c r="G202" s="272"/>
      <c r="H202" s="273"/>
      <c r="I202" s="274"/>
      <c r="J202" s="6"/>
      <c r="K202" s="6"/>
      <c r="L202" s="6"/>
      <c r="M202" s="6"/>
      <c r="N202" s="6"/>
    </row>
    <row r="203">
      <c r="A203" s="281"/>
      <c r="B203" s="282"/>
      <c r="C203" s="278"/>
      <c r="D203" s="284"/>
      <c r="E203" s="285"/>
      <c r="F203" s="271"/>
      <c r="G203" s="272"/>
      <c r="H203" s="273"/>
      <c r="I203" s="274"/>
      <c r="J203" s="6"/>
      <c r="K203" s="6"/>
      <c r="L203" s="6"/>
      <c r="M203" s="6"/>
      <c r="N203" s="6"/>
    </row>
    <row r="204">
      <c r="A204" s="281"/>
      <c r="B204" s="282"/>
      <c r="C204" s="278"/>
      <c r="D204" s="284"/>
      <c r="E204" s="285"/>
      <c r="F204" s="271"/>
      <c r="G204" s="272"/>
      <c r="H204" s="273"/>
      <c r="I204" s="274"/>
      <c r="J204" s="6"/>
      <c r="K204" s="6"/>
      <c r="L204" s="6"/>
      <c r="M204" s="6"/>
      <c r="N204" s="6"/>
    </row>
    <row r="205">
      <c r="A205" s="281"/>
      <c r="B205" s="282"/>
      <c r="C205" s="278"/>
      <c r="D205" s="284"/>
      <c r="E205" s="285"/>
      <c r="F205" s="271"/>
      <c r="G205" s="272"/>
      <c r="H205" s="273"/>
      <c r="I205" s="274"/>
      <c r="J205" s="6"/>
      <c r="K205" s="6"/>
      <c r="L205" s="6"/>
      <c r="M205" s="6"/>
      <c r="N205" s="6"/>
    </row>
    <row r="206">
      <c r="A206" s="281"/>
      <c r="B206" s="282"/>
      <c r="C206" s="278"/>
      <c r="D206" s="284"/>
      <c r="E206" s="285"/>
      <c r="F206" s="271"/>
      <c r="G206" s="272"/>
      <c r="H206" s="273"/>
      <c r="I206" s="274"/>
      <c r="J206" s="6"/>
      <c r="K206" s="6"/>
      <c r="L206" s="6"/>
      <c r="M206" s="6"/>
      <c r="N206" s="6"/>
    </row>
    <row r="207">
      <c r="A207" s="281"/>
      <c r="B207" s="282"/>
      <c r="C207" s="278"/>
      <c r="D207" s="284"/>
      <c r="E207" s="285"/>
      <c r="F207" s="271"/>
      <c r="G207" s="272"/>
      <c r="H207" s="273"/>
      <c r="I207" s="274"/>
      <c r="J207" s="6"/>
      <c r="K207" s="6"/>
      <c r="L207" s="6"/>
      <c r="M207" s="6"/>
      <c r="N207" s="6"/>
    </row>
    <row r="208">
      <c r="A208" s="281"/>
      <c r="B208" s="282"/>
      <c r="C208" s="278"/>
      <c r="D208" s="284"/>
      <c r="E208" s="285"/>
      <c r="F208" s="271"/>
      <c r="G208" s="272"/>
      <c r="H208" s="273"/>
      <c r="I208" s="274"/>
      <c r="J208" s="6"/>
      <c r="K208" s="6"/>
      <c r="L208" s="6"/>
      <c r="M208" s="6"/>
      <c r="N208" s="6"/>
    </row>
    <row r="209">
      <c r="A209" s="281"/>
      <c r="B209" s="282"/>
      <c r="C209" s="278"/>
      <c r="D209" s="284"/>
      <c r="E209" s="285"/>
      <c r="F209" s="271"/>
      <c r="G209" s="272"/>
      <c r="H209" s="273"/>
      <c r="I209" s="274"/>
      <c r="J209" s="6"/>
      <c r="K209" s="6"/>
      <c r="L209" s="6"/>
      <c r="M209" s="6"/>
      <c r="N209" s="6"/>
    </row>
    <row r="210">
      <c r="A210" s="281"/>
      <c r="B210" s="282"/>
      <c r="C210" s="278"/>
      <c r="D210" s="284"/>
      <c r="E210" s="285"/>
      <c r="F210" s="271"/>
      <c r="G210" s="272"/>
      <c r="H210" s="273"/>
      <c r="I210" s="274"/>
      <c r="J210" s="6"/>
      <c r="K210" s="6"/>
      <c r="L210" s="6"/>
      <c r="M210" s="6"/>
      <c r="N210" s="6"/>
    </row>
    <row r="211">
      <c r="A211" s="281"/>
      <c r="B211" s="282"/>
      <c r="C211" s="278"/>
      <c r="D211" s="284"/>
      <c r="E211" s="285"/>
      <c r="F211" s="271"/>
      <c r="G211" s="272"/>
      <c r="H211" s="273"/>
      <c r="I211" s="274"/>
      <c r="J211" s="6"/>
      <c r="K211" s="6"/>
      <c r="L211" s="6"/>
      <c r="M211" s="6"/>
      <c r="N211" s="6"/>
    </row>
    <row r="212">
      <c r="A212" s="281"/>
      <c r="B212" s="282"/>
      <c r="C212" s="278"/>
      <c r="D212" s="284"/>
      <c r="E212" s="285"/>
      <c r="F212" s="271"/>
      <c r="G212" s="272"/>
      <c r="H212" s="273"/>
      <c r="I212" s="274"/>
      <c r="J212" s="6"/>
      <c r="K212" s="6"/>
      <c r="L212" s="6"/>
      <c r="M212" s="6"/>
      <c r="N212" s="6"/>
    </row>
    <row r="213">
      <c r="A213" s="281"/>
      <c r="B213" s="282"/>
      <c r="C213" s="278"/>
      <c r="D213" s="284"/>
      <c r="E213" s="285"/>
      <c r="F213" s="271"/>
      <c r="G213" s="272"/>
      <c r="H213" s="273"/>
      <c r="I213" s="274"/>
      <c r="J213" s="6"/>
      <c r="K213" s="6"/>
      <c r="L213" s="6"/>
      <c r="M213" s="6"/>
      <c r="N213" s="6"/>
    </row>
    <row r="214">
      <c r="A214" s="281"/>
      <c r="B214" s="282"/>
      <c r="C214" s="278"/>
      <c r="D214" s="284"/>
      <c r="E214" s="285"/>
      <c r="F214" s="271"/>
      <c r="G214" s="272"/>
      <c r="H214" s="273"/>
      <c r="I214" s="274"/>
      <c r="J214" s="6"/>
      <c r="K214" s="6"/>
      <c r="L214" s="6"/>
      <c r="M214" s="6"/>
      <c r="N214" s="6"/>
    </row>
    <row r="215">
      <c r="A215" s="281"/>
      <c r="B215" s="282"/>
      <c r="C215" s="278"/>
      <c r="D215" s="284"/>
      <c r="E215" s="285"/>
      <c r="F215" s="271"/>
      <c r="G215" s="272"/>
      <c r="H215" s="273"/>
      <c r="I215" s="274"/>
      <c r="J215" s="6"/>
      <c r="K215" s="6"/>
      <c r="L215" s="6"/>
      <c r="M215" s="6"/>
      <c r="N215" s="6"/>
    </row>
    <row r="216">
      <c r="A216" s="281"/>
      <c r="B216" s="282"/>
      <c r="C216" s="278"/>
      <c r="D216" s="284"/>
      <c r="E216" s="285"/>
      <c r="F216" s="271"/>
      <c r="G216" s="272"/>
      <c r="H216" s="273"/>
      <c r="I216" s="274"/>
      <c r="J216" s="6"/>
      <c r="K216" s="6"/>
      <c r="L216" s="6"/>
      <c r="M216" s="6"/>
      <c r="N216" s="6"/>
    </row>
    <row r="217">
      <c r="A217" s="281"/>
      <c r="B217" s="282"/>
      <c r="C217" s="278"/>
      <c r="D217" s="284"/>
      <c r="E217" s="285"/>
      <c r="F217" s="271"/>
      <c r="G217" s="272"/>
      <c r="H217" s="273"/>
      <c r="I217" s="274"/>
      <c r="J217" s="6"/>
      <c r="K217" s="6"/>
      <c r="L217" s="6"/>
      <c r="M217" s="6"/>
      <c r="N217" s="6"/>
    </row>
    <row r="218">
      <c r="A218" s="281"/>
      <c r="B218" s="282"/>
      <c r="C218" s="278"/>
      <c r="D218" s="284"/>
      <c r="E218" s="285"/>
      <c r="F218" s="271"/>
      <c r="G218" s="272"/>
      <c r="H218" s="273"/>
      <c r="I218" s="274"/>
      <c r="J218" s="6"/>
      <c r="K218" s="6"/>
      <c r="L218" s="6"/>
      <c r="M218" s="6"/>
      <c r="N218" s="6"/>
    </row>
    <row r="219">
      <c r="A219" s="281"/>
      <c r="B219" s="282"/>
      <c r="C219" s="278"/>
      <c r="D219" s="284"/>
      <c r="E219" s="285"/>
      <c r="F219" s="271"/>
      <c r="G219" s="272"/>
      <c r="H219" s="273"/>
      <c r="I219" s="274"/>
      <c r="J219" s="6"/>
      <c r="K219" s="6"/>
      <c r="L219" s="6"/>
      <c r="M219" s="6"/>
      <c r="N219" s="6"/>
    </row>
    <row r="220">
      <c r="A220" s="281"/>
      <c r="B220" s="282"/>
      <c r="C220" s="278"/>
      <c r="D220" s="284"/>
      <c r="E220" s="285"/>
      <c r="F220" s="271"/>
      <c r="G220" s="272"/>
      <c r="H220" s="273"/>
      <c r="I220" s="274"/>
      <c r="J220" s="6"/>
      <c r="K220" s="6"/>
      <c r="L220" s="6"/>
      <c r="M220" s="6"/>
      <c r="N220" s="6"/>
    </row>
    <row r="221">
      <c r="A221" s="281"/>
      <c r="B221" s="282"/>
      <c r="C221" s="278"/>
      <c r="D221" s="284"/>
      <c r="E221" s="285"/>
      <c r="F221" s="271"/>
      <c r="G221" s="272"/>
      <c r="H221" s="273"/>
      <c r="I221" s="274"/>
      <c r="J221" s="6"/>
      <c r="K221" s="6"/>
      <c r="L221" s="6"/>
      <c r="M221" s="6"/>
      <c r="N221" s="6"/>
    </row>
    <row r="222">
      <c r="A222" s="281"/>
      <c r="B222" s="282"/>
      <c r="C222" s="278"/>
      <c r="D222" s="284"/>
      <c r="E222" s="285"/>
      <c r="F222" s="271"/>
      <c r="G222" s="272"/>
      <c r="H222" s="273"/>
      <c r="I222" s="274"/>
      <c r="J222" s="6"/>
      <c r="K222" s="6"/>
      <c r="L222" s="6"/>
      <c r="M222" s="6"/>
      <c r="N222" s="6"/>
    </row>
    <row r="223">
      <c r="A223" s="281"/>
      <c r="B223" s="282"/>
      <c r="C223" s="278"/>
      <c r="D223" s="284"/>
      <c r="E223" s="285"/>
      <c r="F223" s="271"/>
      <c r="G223" s="272"/>
      <c r="H223" s="273"/>
      <c r="I223" s="274"/>
      <c r="J223" s="6"/>
      <c r="K223" s="6"/>
      <c r="L223" s="6"/>
      <c r="M223" s="6"/>
      <c r="N223" s="6"/>
    </row>
    <row r="224">
      <c r="A224" s="281"/>
      <c r="B224" s="282"/>
      <c r="C224" s="278"/>
      <c r="D224" s="284"/>
      <c r="E224" s="285"/>
      <c r="F224" s="271"/>
      <c r="G224" s="272"/>
      <c r="H224" s="273"/>
      <c r="I224" s="274"/>
      <c r="J224" s="6"/>
      <c r="K224" s="6"/>
      <c r="L224" s="6"/>
      <c r="M224" s="6"/>
      <c r="N224" s="6"/>
    </row>
    <row r="225">
      <c r="A225" s="281"/>
      <c r="B225" s="282"/>
      <c r="C225" s="278"/>
      <c r="D225" s="284"/>
      <c r="E225" s="285"/>
      <c r="F225" s="271"/>
      <c r="G225" s="272"/>
      <c r="H225" s="273"/>
      <c r="I225" s="274"/>
      <c r="J225" s="6"/>
      <c r="K225" s="6"/>
      <c r="L225" s="6"/>
      <c r="M225" s="6"/>
      <c r="N225" s="6"/>
    </row>
    <row r="226">
      <c r="A226" s="281"/>
      <c r="B226" s="282"/>
      <c r="C226" s="278"/>
      <c r="D226" s="284"/>
      <c r="E226" s="285"/>
      <c r="F226" s="271"/>
      <c r="G226" s="272"/>
      <c r="H226" s="273"/>
      <c r="I226" s="274"/>
      <c r="J226" s="6"/>
      <c r="K226" s="6"/>
      <c r="L226" s="6"/>
      <c r="M226" s="6"/>
      <c r="N226" s="6"/>
    </row>
    <row r="227">
      <c r="A227" s="281"/>
      <c r="B227" s="282"/>
      <c r="C227" s="278"/>
      <c r="D227" s="284"/>
      <c r="E227" s="285"/>
      <c r="F227" s="271"/>
      <c r="G227" s="272"/>
      <c r="H227" s="273"/>
      <c r="I227" s="274"/>
      <c r="J227" s="6"/>
      <c r="K227" s="6"/>
      <c r="L227" s="6"/>
      <c r="M227" s="6"/>
      <c r="N227" s="6"/>
    </row>
    <row r="228">
      <c r="A228" s="281"/>
      <c r="B228" s="282"/>
      <c r="C228" s="278"/>
      <c r="D228" s="284"/>
      <c r="E228" s="285"/>
      <c r="F228" s="271"/>
      <c r="G228" s="272"/>
      <c r="H228" s="273"/>
      <c r="I228" s="274"/>
      <c r="J228" s="6"/>
      <c r="K228" s="6"/>
      <c r="L228" s="6"/>
      <c r="M228" s="6"/>
      <c r="N228" s="6"/>
    </row>
    <row r="229">
      <c r="A229" s="281"/>
      <c r="B229" s="282"/>
      <c r="C229" s="278"/>
      <c r="D229" s="284"/>
      <c r="E229" s="285"/>
      <c r="F229" s="271"/>
      <c r="G229" s="272"/>
      <c r="H229" s="273"/>
      <c r="I229" s="274"/>
      <c r="J229" s="6"/>
      <c r="K229" s="6"/>
      <c r="L229" s="6"/>
      <c r="M229" s="6"/>
      <c r="N229" s="6"/>
    </row>
    <row r="230">
      <c r="A230" s="281"/>
      <c r="B230" s="282"/>
      <c r="C230" s="278"/>
      <c r="D230" s="284"/>
      <c r="E230" s="285"/>
      <c r="F230" s="271"/>
      <c r="G230" s="272"/>
      <c r="H230" s="273"/>
      <c r="I230" s="274"/>
      <c r="J230" s="6"/>
      <c r="K230" s="6"/>
      <c r="L230" s="6"/>
      <c r="M230" s="6"/>
      <c r="N230" s="6"/>
    </row>
    <row r="231">
      <c r="A231" s="281"/>
      <c r="B231" s="282"/>
      <c r="C231" s="278"/>
      <c r="D231" s="284"/>
      <c r="E231" s="285"/>
      <c r="F231" s="271"/>
      <c r="G231" s="272"/>
      <c r="H231" s="273"/>
      <c r="I231" s="274"/>
      <c r="J231" s="6"/>
      <c r="K231" s="6"/>
      <c r="L231" s="6"/>
      <c r="M231" s="6"/>
      <c r="N231" s="6"/>
    </row>
    <row r="232">
      <c r="A232" s="281"/>
      <c r="B232" s="282"/>
      <c r="C232" s="278"/>
      <c r="D232" s="284"/>
      <c r="E232" s="285"/>
      <c r="F232" s="271"/>
      <c r="G232" s="272"/>
      <c r="H232" s="273"/>
      <c r="I232" s="274"/>
      <c r="J232" s="6"/>
      <c r="K232" s="6"/>
      <c r="L232" s="6"/>
      <c r="M232" s="6"/>
      <c r="N232" s="6"/>
    </row>
    <row r="233">
      <c r="A233" s="281"/>
      <c r="B233" s="282"/>
      <c r="C233" s="278"/>
      <c r="D233" s="284"/>
      <c r="E233" s="285"/>
      <c r="F233" s="271"/>
      <c r="G233" s="272"/>
      <c r="H233" s="273"/>
      <c r="I233" s="274"/>
      <c r="J233" s="6"/>
      <c r="K233" s="6"/>
      <c r="L233" s="6"/>
      <c r="M233" s="6"/>
      <c r="N233" s="6"/>
    </row>
    <row r="234">
      <c r="A234" s="281"/>
      <c r="B234" s="282"/>
      <c r="C234" s="278"/>
      <c r="D234" s="284"/>
      <c r="E234" s="285"/>
      <c r="F234" s="271"/>
      <c r="G234" s="272"/>
      <c r="H234" s="273"/>
      <c r="I234" s="274"/>
      <c r="J234" s="6"/>
      <c r="K234" s="6"/>
      <c r="L234" s="6"/>
      <c r="M234" s="6"/>
      <c r="N234" s="6"/>
    </row>
    <row r="235">
      <c r="A235" s="281"/>
      <c r="B235" s="282"/>
      <c r="C235" s="278"/>
      <c r="D235" s="284"/>
      <c r="E235" s="285"/>
      <c r="F235" s="271"/>
      <c r="G235" s="272"/>
      <c r="H235" s="273"/>
      <c r="I235" s="274"/>
      <c r="J235" s="6"/>
      <c r="K235" s="6"/>
      <c r="L235" s="6"/>
      <c r="M235" s="6"/>
      <c r="N235" s="6"/>
    </row>
    <row r="236">
      <c r="A236" s="281"/>
      <c r="B236" s="282"/>
      <c r="C236" s="278"/>
      <c r="D236" s="284"/>
      <c r="E236" s="285"/>
      <c r="F236" s="271"/>
      <c r="G236" s="272"/>
      <c r="H236" s="273"/>
      <c r="I236" s="274"/>
      <c r="J236" s="6"/>
      <c r="K236" s="6"/>
      <c r="L236" s="6"/>
      <c r="M236" s="6"/>
      <c r="N236" s="6"/>
    </row>
    <row r="237">
      <c r="A237" s="281"/>
      <c r="B237" s="282"/>
      <c r="C237" s="278"/>
      <c r="D237" s="284"/>
      <c r="E237" s="285"/>
      <c r="F237" s="271"/>
      <c r="G237" s="272"/>
      <c r="H237" s="273"/>
      <c r="I237" s="274"/>
      <c r="J237" s="6"/>
      <c r="K237" s="6"/>
      <c r="L237" s="6"/>
      <c r="M237" s="6"/>
      <c r="N237" s="6"/>
    </row>
    <row r="238">
      <c r="A238" s="281"/>
      <c r="B238" s="282"/>
      <c r="C238" s="278"/>
      <c r="D238" s="284"/>
      <c r="E238" s="285"/>
      <c r="F238" s="271"/>
      <c r="G238" s="272"/>
      <c r="H238" s="273"/>
      <c r="I238" s="274"/>
      <c r="J238" s="6"/>
      <c r="K238" s="6"/>
      <c r="L238" s="6"/>
      <c r="M238" s="6"/>
      <c r="N238" s="6"/>
    </row>
    <row r="239">
      <c r="A239" s="281"/>
      <c r="B239" s="282"/>
      <c r="C239" s="278"/>
      <c r="D239" s="284"/>
      <c r="E239" s="285"/>
      <c r="F239" s="271"/>
      <c r="G239" s="272"/>
      <c r="H239" s="273"/>
      <c r="I239" s="274"/>
      <c r="J239" s="6"/>
      <c r="K239" s="6"/>
      <c r="L239" s="6"/>
      <c r="M239" s="6"/>
      <c r="N239" s="6"/>
    </row>
    <row r="240">
      <c r="A240" s="281"/>
      <c r="B240" s="282"/>
      <c r="C240" s="278"/>
      <c r="D240" s="284"/>
      <c r="E240" s="285"/>
      <c r="F240" s="271"/>
      <c r="G240" s="272"/>
      <c r="H240" s="273"/>
      <c r="I240" s="274"/>
      <c r="J240" s="6"/>
      <c r="K240" s="6"/>
      <c r="L240" s="6"/>
      <c r="M240" s="6"/>
      <c r="N240" s="6"/>
    </row>
    <row r="241">
      <c r="A241" s="281"/>
      <c r="B241" s="282"/>
      <c r="C241" s="278"/>
      <c r="D241" s="284"/>
      <c r="E241" s="285"/>
      <c r="F241" s="271"/>
      <c r="G241" s="272"/>
      <c r="H241" s="273"/>
      <c r="I241" s="274"/>
      <c r="J241" s="6"/>
      <c r="K241" s="6"/>
      <c r="L241" s="6"/>
      <c r="M241" s="6"/>
      <c r="N241" s="6"/>
    </row>
    <row r="242">
      <c r="A242" s="281"/>
      <c r="B242" s="282"/>
      <c r="C242" s="278"/>
      <c r="D242" s="284"/>
      <c r="E242" s="285"/>
      <c r="F242" s="271"/>
      <c r="G242" s="272"/>
      <c r="H242" s="273"/>
      <c r="I242" s="274"/>
      <c r="J242" s="6"/>
      <c r="K242" s="6"/>
      <c r="L242" s="6"/>
      <c r="M242" s="6"/>
      <c r="N242" s="6"/>
    </row>
    <row r="243">
      <c r="A243" s="281"/>
      <c r="B243" s="282"/>
      <c r="C243" s="278"/>
      <c r="D243" s="284"/>
      <c r="E243" s="285"/>
      <c r="F243" s="271"/>
      <c r="G243" s="272"/>
      <c r="H243" s="273"/>
      <c r="I243" s="274"/>
      <c r="J243" s="6"/>
      <c r="K243" s="6"/>
      <c r="L243" s="6"/>
      <c r="M243" s="6"/>
      <c r="N243" s="6"/>
    </row>
    <row r="244">
      <c r="A244" s="281"/>
      <c r="B244" s="282"/>
      <c r="C244" s="278"/>
      <c r="D244" s="284"/>
      <c r="E244" s="285"/>
      <c r="F244" s="271"/>
      <c r="G244" s="272"/>
      <c r="H244" s="273"/>
      <c r="I244" s="274"/>
      <c r="J244" s="6"/>
      <c r="K244" s="6"/>
      <c r="L244" s="6"/>
      <c r="M244" s="6"/>
      <c r="N244" s="6"/>
    </row>
    <row r="245">
      <c r="A245" s="281"/>
      <c r="B245" s="282"/>
      <c r="C245" s="278"/>
      <c r="D245" s="284"/>
      <c r="E245" s="285"/>
      <c r="F245" s="271"/>
      <c r="G245" s="272"/>
      <c r="H245" s="273"/>
      <c r="I245" s="274"/>
      <c r="J245" s="6"/>
      <c r="K245" s="6"/>
      <c r="L245" s="6"/>
      <c r="M245" s="6"/>
      <c r="N245" s="6"/>
    </row>
    <row r="246">
      <c r="A246" s="281"/>
      <c r="B246" s="282"/>
      <c r="C246" s="278"/>
      <c r="D246" s="284"/>
      <c r="E246" s="285"/>
      <c r="F246" s="271"/>
      <c r="G246" s="272"/>
      <c r="H246" s="273"/>
      <c r="I246" s="274"/>
      <c r="J246" s="6"/>
      <c r="K246" s="6"/>
      <c r="L246" s="6"/>
      <c r="M246" s="6"/>
      <c r="N246" s="6"/>
    </row>
    <row r="247">
      <c r="A247" s="281"/>
      <c r="B247" s="282"/>
      <c r="C247" s="278"/>
      <c r="D247" s="284"/>
      <c r="E247" s="285"/>
      <c r="F247" s="271"/>
      <c r="G247" s="272"/>
      <c r="H247" s="273"/>
      <c r="I247" s="274"/>
      <c r="J247" s="6"/>
      <c r="K247" s="6"/>
      <c r="L247" s="6"/>
      <c r="M247" s="6"/>
      <c r="N247" s="6"/>
    </row>
    <row r="248">
      <c r="A248" s="281"/>
      <c r="B248" s="282"/>
      <c r="C248" s="278"/>
      <c r="D248" s="284"/>
      <c r="E248" s="285"/>
      <c r="F248" s="271"/>
      <c r="G248" s="272"/>
      <c r="H248" s="273"/>
      <c r="I248" s="274"/>
      <c r="J248" s="6"/>
      <c r="K248" s="6"/>
      <c r="L248" s="6"/>
      <c r="M248" s="6"/>
      <c r="N248" s="6"/>
    </row>
    <row r="249">
      <c r="A249" s="281"/>
      <c r="B249" s="282"/>
      <c r="C249" s="278"/>
      <c r="D249" s="284"/>
      <c r="E249" s="285"/>
      <c r="F249" s="271"/>
      <c r="G249" s="272"/>
      <c r="H249" s="273"/>
      <c r="I249" s="274"/>
      <c r="J249" s="6"/>
      <c r="K249" s="6"/>
      <c r="L249" s="6"/>
      <c r="M249" s="6"/>
      <c r="N249" s="6"/>
    </row>
    <row r="250">
      <c r="A250" s="281"/>
      <c r="B250" s="282"/>
      <c r="C250" s="278"/>
      <c r="D250" s="284"/>
      <c r="E250" s="285"/>
      <c r="F250" s="271"/>
      <c r="G250" s="272"/>
      <c r="H250" s="273"/>
      <c r="I250" s="274"/>
      <c r="J250" s="6"/>
      <c r="K250" s="6"/>
      <c r="L250" s="6"/>
      <c r="M250" s="6"/>
      <c r="N250" s="6"/>
    </row>
    <row r="251">
      <c r="A251" s="281"/>
      <c r="B251" s="282"/>
      <c r="C251" s="278"/>
      <c r="D251" s="284"/>
      <c r="E251" s="285"/>
      <c r="F251" s="271"/>
      <c r="G251" s="272"/>
      <c r="H251" s="273"/>
      <c r="I251" s="274"/>
      <c r="J251" s="6"/>
      <c r="K251" s="6"/>
      <c r="L251" s="6"/>
      <c r="M251" s="6"/>
      <c r="N251" s="6"/>
    </row>
    <row r="252">
      <c r="A252" s="281"/>
      <c r="B252" s="282"/>
      <c r="C252" s="278"/>
      <c r="D252" s="284"/>
      <c r="E252" s="285"/>
      <c r="F252" s="271"/>
      <c r="G252" s="272"/>
      <c r="H252" s="273"/>
      <c r="I252" s="274"/>
      <c r="J252" s="6"/>
      <c r="K252" s="6"/>
      <c r="L252" s="6"/>
      <c r="M252" s="6"/>
      <c r="N252" s="6"/>
    </row>
    <row r="253">
      <c r="A253" s="281"/>
      <c r="B253" s="282"/>
      <c r="C253" s="278"/>
      <c r="D253" s="284"/>
      <c r="E253" s="285"/>
      <c r="F253" s="271"/>
      <c r="G253" s="272"/>
      <c r="H253" s="273"/>
      <c r="I253" s="274"/>
      <c r="J253" s="6"/>
      <c r="K253" s="6"/>
      <c r="L253" s="6"/>
      <c r="M253" s="6"/>
      <c r="N253" s="6"/>
    </row>
    <row r="254">
      <c r="A254" s="281"/>
      <c r="B254" s="282"/>
      <c r="C254" s="278"/>
      <c r="D254" s="284"/>
      <c r="E254" s="285"/>
      <c r="F254" s="271"/>
      <c r="G254" s="272"/>
      <c r="H254" s="273"/>
      <c r="I254" s="274"/>
      <c r="J254" s="6"/>
      <c r="K254" s="6"/>
      <c r="L254" s="6"/>
      <c r="M254" s="6"/>
      <c r="N254" s="6"/>
    </row>
    <row r="255">
      <c r="A255" s="281"/>
      <c r="B255" s="282"/>
      <c r="C255" s="278"/>
      <c r="D255" s="284"/>
      <c r="E255" s="285"/>
      <c r="F255" s="271"/>
      <c r="G255" s="272"/>
      <c r="H255" s="273"/>
      <c r="I255" s="274"/>
      <c r="J255" s="6"/>
      <c r="K255" s="6"/>
      <c r="L255" s="6"/>
      <c r="M255" s="6"/>
      <c r="N255" s="6"/>
    </row>
    <row r="256">
      <c r="A256" s="281"/>
      <c r="B256" s="282"/>
      <c r="C256" s="278"/>
      <c r="D256" s="284"/>
      <c r="E256" s="285"/>
      <c r="F256" s="271"/>
      <c r="G256" s="272"/>
      <c r="H256" s="273"/>
      <c r="I256" s="274"/>
      <c r="J256" s="6"/>
      <c r="K256" s="6"/>
      <c r="L256" s="6"/>
      <c r="M256" s="6"/>
      <c r="N256" s="6"/>
    </row>
    <row r="257">
      <c r="A257" s="281"/>
      <c r="B257" s="282"/>
      <c r="C257" s="278"/>
      <c r="D257" s="284"/>
      <c r="E257" s="285"/>
      <c r="F257" s="271"/>
      <c r="G257" s="272"/>
      <c r="H257" s="273"/>
      <c r="I257" s="274"/>
      <c r="J257" s="6"/>
      <c r="K257" s="6"/>
      <c r="L257" s="6"/>
      <c r="M257" s="6"/>
      <c r="N257" s="6"/>
    </row>
    <row r="258">
      <c r="A258" s="281"/>
      <c r="B258" s="282"/>
      <c r="C258" s="278"/>
      <c r="D258" s="284"/>
      <c r="E258" s="285"/>
      <c r="F258" s="271"/>
      <c r="G258" s="272"/>
      <c r="H258" s="273"/>
      <c r="I258" s="274"/>
      <c r="J258" s="6"/>
      <c r="K258" s="6"/>
      <c r="L258" s="6"/>
      <c r="M258" s="6"/>
      <c r="N258" s="6"/>
    </row>
    <row r="259">
      <c r="A259" s="281"/>
      <c r="B259" s="282"/>
      <c r="C259" s="278"/>
      <c r="D259" s="284"/>
      <c r="E259" s="285"/>
      <c r="F259" s="271"/>
      <c r="G259" s="272"/>
      <c r="H259" s="273"/>
      <c r="I259" s="274"/>
      <c r="J259" s="6"/>
      <c r="K259" s="6"/>
      <c r="L259" s="6"/>
      <c r="M259" s="6"/>
      <c r="N259" s="6"/>
    </row>
    <row r="260">
      <c r="A260" s="281"/>
      <c r="B260" s="282"/>
      <c r="C260" s="278"/>
      <c r="D260" s="284"/>
      <c r="E260" s="285"/>
      <c r="F260" s="271"/>
      <c r="G260" s="272"/>
      <c r="H260" s="273"/>
      <c r="I260" s="274"/>
      <c r="J260" s="6"/>
      <c r="K260" s="6"/>
      <c r="L260" s="6"/>
      <c r="M260" s="6"/>
      <c r="N260" s="6"/>
    </row>
    <row r="261">
      <c r="A261" s="281"/>
      <c r="B261" s="282"/>
      <c r="C261" s="278"/>
      <c r="D261" s="284"/>
      <c r="E261" s="285"/>
      <c r="F261" s="271"/>
      <c r="G261" s="272"/>
      <c r="H261" s="273"/>
      <c r="I261" s="274"/>
      <c r="J261" s="6"/>
      <c r="K261" s="6"/>
      <c r="L261" s="6"/>
      <c r="M261" s="6"/>
      <c r="N261" s="6"/>
    </row>
    <row r="262">
      <c r="A262" s="281"/>
      <c r="B262" s="282"/>
      <c r="C262" s="278"/>
      <c r="D262" s="284"/>
      <c r="E262" s="285"/>
      <c r="F262" s="271"/>
      <c r="G262" s="272"/>
      <c r="H262" s="273"/>
      <c r="I262" s="274"/>
      <c r="J262" s="6"/>
      <c r="K262" s="6"/>
      <c r="L262" s="6"/>
      <c r="M262" s="6"/>
      <c r="N262" s="6"/>
    </row>
    <row r="263">
      <c r="A263" s="281"/>
      <c r="B263" s="282"/>
      <c r="C263" s="278"/>
      <c r="D263" s="284"/>
      <c r="E263" s="285"/>
      <c r="F263" s="271"/>
      <c r="G263" s="272"/>
      <c r="H263" s="273"/>
      <c r="I263" s="274"/>
      <c r="J263" s="6"/>
      <c r="K263" s="6"/>
      <c r="L263" s="6"/>
      <c r="M263" s="6"/>
      <c r="N263" s="6"/>
    </row>
    <row r="264">
      <c r="A264" s="281"/>
      <c r="B264" s="282"/>
      <c r="C264" s="278"/>
      <c r="D264" s="284"/>
      <c r="E264" s="285"/>
      <c r="F264" s="271"/>
      <c r="G264" s="272"/>
      <c r="H264" s="273"/>
      <c r="I264" s="274"/>
      <c r="J264" s="6"/>
      <c r="K264" s="6"/>
      <c r="L264" s="6"/>
      <c r="M264" s="6"/>
      <c r="N264" s="6"/>
    </row>
    <row r="265">
      <c r="A265" s="281"/>
      <c r="B265" s="282"/>
      <c r="C265" s="278"/>
      <c r="D265" s="284"/>
      <c r="E265" s="285"/>
      <c r="F265" s="271"/>
      <c r="G265" s="272"/>
      <c r="H265" s="273"/>
      <c r="I265" s="274"/>
      <c r="J265" s="6"/>
      <c r="K265" s="6"/>
      <c r="L265" s="6"/>
      <c r="M265" s="6"/>
      <c r="N265" s="6"/>
    </row>
    <row r="266">
      <c r="A266" s="281"/>
      <c r="B266" s="282"/>
      <c r="C266" s="278"/>
      <c r="D266" s="284"/>
      <c r="E266" s="285"/>
      <c r="F266" s="271"/>
      <c r="G266" s="272"/>
      <c r="H266" s="273"/>
      <c r="I266" s="274"/>
      <c r="J266" s="6"/>
      <c r="K266" s="6"/>
      <c r="L266" s="6"/>
      <c r="M266" s="6"/>
      <c r="N266" s="6"/>
    </row>
    <row r="267">
      <c r="A267" s="281"/>
      <c r="B267" s="282"/>
      <c r="C267" s="278"/>
      <c r="D267" s="284"/>
      <c r="E267" s="285"/>
      <c r="F267" s="271"/>
      <c r="G267" s="272"/>
      <c r="H267" s="273"/>
      <c r="I267" s="274"/>
      <c r="J267" s="6"/>
      <c r="K267" s="6"/>
      <c r="L267" s="6"/>
      <c r="M267" s="6"/>
      <c r="N267" s="6"/>
    </row>
    <row r="268">
      <c r="A268" s="281"/>
      <c r="B268" s="282"/>
      <c r="C268" s="278"/>
      <c r="D268" s="284"/>
      <c r="E268" s="285"/>
      <c r="F268" s="271"/>
      <c r="G268" s="272"/>
      <c r="H268" s="273"/>
      <c r="I268" s="274"/>
      <c r="J268" s="6"/>
      <c r="K268" s="6"/>
      <c r="L268" s="6"/>
      <c r="M268" s="6"/>
      <c r="N268" s="6"/>
    </row>
    <row r="269">
      <c r="A269" s="281"/>
      <c r="B269" s="282"/>
      <c r="C269" s="278"/>
      <c r="D269" s="284"/>
      <c r="E269" s="285"/>
      <c r="F269" s="271"/>
      <c r="G269" s="272"/>
      <c r="H269" s="273"/>
      <c r="I269" s="274"/>
      <c r="J269" s="6"/>
      <c r="K269" s="6"/>
      <c r="L269" s="6"/>
      <c r="M269" s="6"/>
      <c r="N269" s="6"/>
    </row>
    <row r="270">
      <c r="A270" s="281"/>
      <c r="B270" s="282"/>
      <c r="C270" s="278"/>
      <c r="D270" s="284"/>
      <c r="E270" s="285"/>
      <c r="F270" s="271"/>
      <c r="G270" s="272"/>
      <c r="H270" s="273"/>
      <c r="I270" s="274"/>
      <c r="J270" s="6"/>
      <c r="K270" s="6"/>
      <c r="L270" s="6"/>
      <c r="M270" s="6"/>
      <c r="N270" s="6"/>
    </row>
    <row r="271">
      <c r="A271" s="281"/>
      <c r="B271" s="282"/>
      <c r="C271" s="278"/>
      <c r="D271" s="284"/>
      <c r="E271" s="285"/>
      <c r="F271" s="271"/>
      <c r="G271" s="272"/>
      <c r="H271" s="273"/>
      <c r="I271" s="274"/>
      <c r="J271" s="6"/>
      <c r="K271" s="6"/>
      <c r="L271" s="6"/>
      <c r="M271" s="6"/>
      <c r="N271" s="6"/>
    </row>
    <row r="272">
      <c r="A272" s="281"/>
      <c r="B272" s="282"/>
      <c r="C272" s="278"/>
      <c r="D272" s="284"/>
      <c r="E272" s="285"/>
      <c r="F272" s="271"/>
      <c r="G272" s="272"/>
      <c r="H272" s="273"/>
      <c r="I272" s="274"/>
      <c r="J272" s="6"/>
      <c r="K272" s="6"/>
      <c r="L272" s="6"/>
      <c r="M272" s="6"/>
      <c r="N272" s="6"/>
    </row>
    <row r="273">
      <c r="A273" s="281"/>
      <c r="B273" s="282"/>
      <c r="C273" s="278"/>
      <c r="D273" s="284"/>
      <c r="E273" s="285"/>
      <c r="F273" s="271"/>
      <c r="G273" s="272"/>
      <c r="H273" s="273"/>
      <c r="I273" s="274"/>
      <c r="J273" s="6"/>
      <c r="K273" s="6"/>
      <c r="L273" s="6"/>
      <c r="M273" s="6"/>
      <c r="N273" s="6"/>
    </row>
    <row r="274">
      <c r="A274" s="281"/>
      <c r="B274" s="282"/>
      <c r="C274" s="278"/>
      <c r="D274" s="284"/>
      <c r="E274" s="285"/>
      <c r="F274" s="271"/>
      <c r="G274" s="272"/>
      <c r="H274" s="273"/>
      <c r="I274" s="274"/>
      <c r="J274" s="6"/>
      <c r="K274" s="6"/>
      <c r="L274" s="6"/>
      <c r="M274" s="6"/>
      <c r="N274" s="6"/>
    </row>
    <row r="275">
      <c r="A275" s="281"/>
      <c r="B275" s="282"/>
      <c r="C275" s="278"/>
      <c r="D275" s="284"/>
      <c r="E275" s="285"/>
      <c r="F275" s="271"/>
      <c r="G275" s="272"/>
      <c r="H275" s="273"/>
      <c r="I275" s="274"/>
      <c r="J275" s="6"/>
      <c r="K275" s="6"/>
      <c r="L275" s="6"/>
      <c r="M275" s="6"/>
      <c r="N275" s="6"/>
    </row>
    <row r="276">
      <c r="A276" s="281"/>
      <c r="B276" s="282"/>
      <c r="C276" s="278"/>
      <c r="D276" s="284"/>
      <c r="E276" s="285"/>
      <c r="F276" s="271"/>
      <c r="G276" s="272"/>
      <c r="H276" s="273"/>
      <c r="I276" s="274"/>
      <c r="J276" s="6"/>
      <c r="K276" s="6"/>
      <c r="L276" s="6"/>
      <c r="M276" s="6"/>
      <c r="N276" s="6"/>
    </row>
    <row r="277">
      <c r="A277" s="281"/>
      <c r="B277" s="282"/>
      <c r="C277" s="278"/>
      <c r="D277" s="284"/>
      <c r="E277" s="285"/>
      <c r="F277" s="271"/>
      <c r="G277" s="272"/>
      <c r="H277" s="273"/>
      <c r="I277" s="274"/>
      <c r="J277" s="6"/>
      <c r="K277" s="6"/>
      <c r="L277" s="6"/>
      <c r="M277" s="6"/>
      <c r="N277" s="6"/>
    </row>
    <row r="278">
      <c r="A278" s="281"/>
      <c r="B278" s="282"/>
      <c r="C278" s="278"/>
      <c r="D278" s="284"/>
      <c r="E278" s="285"/>
      <c r="F278" s="271"/>
      <c r="G278" s="272"/>
      <c r="H278" s="273"/>
      <c r="I278" s="274"/>
      <c r="J278" s="6"/>
      <c r="K278" s="6"/>
      <c r="L278" s="6"/>
      <c r="M278" s="6"/>
      <c r="N278" s="6"/>
    </row>
    <row r="279">
      <c r="A279" s="281"/>
      <c r="B279" s="282"/>
      <c r="C279" s="278"/>
      <c r="D279" s="284"/>
      <c r="E279" s="285"/>
      <c r="F279" s="271"/>
      <c r="G279" s="272"/>
      <c r="H279" s="273"/>
      <c r="I279" s="274"/>
      <c r="J279" s="6"/>
      <c r="K279" s="6"/>
      <c r="L279" s="6"/>
      <c r="M279" s="6"/>
      <c r="N279" s="6"/>
    </row>
    <row r="280">
      <c r="A280" s="281"/>
      <c r="B280" s="282"/>
      <c r="C280" s="278"/>
      <c r="D280" s="284"/>
      <c r="E280" s="285"/>
      <c r="F280" s="271"/>
      <c r="G280" s="272"/>
      <c r="H280" s="273"/>
      <c r="I280" s="274"/>
      <c r="J280" s="6"/>
      <c r="K280" s="6"/>
      <c r="L280" s="6"/>
      <c r="M280" s="6"/>
      <c r="N280" s="6"/>
    </row>
    <row r="281">
      <c r="A281" s="281"/>
      <c r="B281" s="282"/>
      <c r="C281" s="278"/>
      <c r="D281" s="284"/>
      <c r="E281" s="285"/>
      <c r="F281" s="271"/>
      <c r="G281" s="272"/>
      <c r="H281" s="273"/>
      <c r="I281" s="274"/>
      <c r="J281" s="6"/>
      <c r="K281" s="6"/>
      <c r="L281" s="6"/>
      <c r="M281" s="6"/>
      <c r="N281" s="6"/>
    </row>
    <row r="282">
      <c r="A282" s="281"/>
      <c r="B282" s="282"/>
      <c r="C282" s="278"/>
      <c r="D282" s="284"/>
      <c r="E282" s="285"/>
      <c r="F282" s="271"/>
      <c r="G282" s="272"/>
      <c r="H282" s="273"/>
      <c r="I282" s="274"/>
      <c r="J282" s="6"/>
      <c r="K282" s="6"/>
      <c r="L282" s="6"/>
      <c r="M282" s="6"/>
      <c r="N282" s="6"/>
    </row>
    <row r="283">
      <c r="A283" s="281"/>
      <c r="B283" s="282"/>
      <c r="C283" s="278"/>
      <c r="D283" s="284"/>
      <c r="E283" s="285"/>
      <c r="F283" s="271"/>
      <c r="G283" s="272"/>
      <c r="H283" s="273"/>
      <c r="I283" s="274"/>
      <c r="J283" s="6"/>
      <c r="K283" s="6"/>
      <c r="L283" s="6"/>
      <c r="M283" s="6"/>
      <c r="N283" s="6"/>
    </row>
    <row r="284">
      <c r="A284" s="281"/>
      <c r="B284" s="282"/>
      <c r="C284" s="278"/>
      <c r="D284" s="284"/>
      <c r="E284" s="285"/>
      <c r="F284" s="271"/>
      <c r="G284" s="272"/>
      <c r="H284" s="273"/>
      <c r="I284" s="274"/>
      <c r="J284" s="6"/>
      <c r="K284" s="6"/>
      <c r="L284" s="6"/>
      <c r="M284" s="6"/>
      <c r="N284" s="6"/>
    </row>
    <row r="285">
      <c r="A285" s="281"/>
      <c r="B285" s="282"/>
      <c r="C285" s="278"/>
      <c r="D285" s="284"/>
      <c r="E285" s="285"/>
      <c r="F285" s="271"/>
      <c r="G285" s="272"/>
      <c r="H285" s="273"/>
      <c r="I285" s="274"/>
      <c r="J285" s="6"/>
      <c r="K285" s="6"/>
      <c r="L285" s="6"/>
      <c r="M285" s="6"/>
      <c r="N285" s="6"/>
    </row>
    <row r="286">
      <c r="A286" s="281"/>
      <c r="B286" s="282"/>
      <c r="C286" s="278"/>
      <c r="D286" s="284"/>
      <c r="E286" s="285"/>
      <c r="F286" s="271"/>
      <c r="G286" s="272"/>
      <c r="H286" s="273"/>
      <c r="I286" s="274"/>
      <c r="J286" s="6"/>
      <c r="K286" s="6"/>
      <c r="L286" s="6"/>
      <c r="M286" s="6"/>
      <c r="N286" s="6"/>
    </row>
    <row r="287">
      <c r="A287" s="281"/>
      <c r="B287" s="282"/>
      <c r="C287" s="278"/>
      <c r="D287" s="284"/>
      <c r="E287" s="285"/>
      <c r="F287" s="271"/>
      <c r="G287" s="272"/>
      <c r="H287" s="273"/>
      <c r="I287" s="274"/>
      <c r="J287" s="6"/>
      <c r="K287" s="6"/>
      <c r="L287" s="6"/>
      <c r="M287" s="6"/>
      <c r="N287" s="6"/>
    </row>
    <row r="288">
      <c r="A288" s="281"/>
      <c r="B288" s="282"/>
      <c r="C288" s="278"/>
      <c r="D288" s="284"/>
      <c r="E288" s="285"/>
      <c r="F288" s="271"/>
      <c r="G288" s="272"/>
      <c r="H288" s="273"/>
      <c r="I288" s="274"/>
      <c r="J288" s="6"/>
      <c r="K288" s="6"/>
      <c r="L288" s="6"/>
      <c r="M288" s="6"/>
      <c r="N288" s="6"/>
    </row>
    <row r="289">
      <c r="A289" s="281"/>
      <c r="B289" s="282"/>
      <c r="C289" s="278"/>
      <c r="D289" s="284"/>
      <c r="E289" s="285"/>
      <c r="F289" s="271"/>
      <c r="G289" s="272"/>
      <c r="H289" s="273"/>
      <c r="I289" s="274"/>
      <c r="J289" s="6"/>
      <c r="K289" s="6"/>
      <c r="L289" s="6"/>
      <c r="M289" s="6"/>
      <c r="N289" s="6"/>
    </row>
    <row r="290">
      <c r="A290" s="281"/>
      <c r="B290" s="282"/>
      <c r="C290" s="278"/>
      <c r="D290" s="284"/>
      <c r="E290" s="285"/>
      <c r="F290" s="271"/>
      <c r="G290" s="272"/>
      <c r="H290" s="273"/>
      <c r="I290" s="274"/>
      <c r="J290" s="6"/>
      <c r="K290" s="6"/>
      <c r="L290" s="6"/>
      <c r="M290" s="6"/>
      <c r="N290" s="6"/>
    </row>
    <row r="291">
      <c r="A291" s="281"/>
      <c r="B291" s="282"/>
      <c r="C291" s="278"/>
      <c r="D291" s="284"/>
      <c r="E291" s="285"/>
      <c r="F291" s="271"/>
      <c r="G291" s="272"/>
      <c r="H291" s="273"/>
      <c r="I291" s="274"/>
      <c r="J291" s="6"/>
      <c r="K291" s="6"/>
      <c r="L291" s="6"/>
      <c r="M291" s="6"/>
      <c r="N291" s="6"/>
    </row>
    <row r="292">
      <c r="A292" s="281"/>
      <c r="B292" s="282"/>
      <c r="C292" s="278"/>
      <c r="D292" s="284"/>
      <c r="E292" s="285"/>
      <c r="F292" s="271"/>
      <c r="G292" s="272"/>
      <c r="H292" s="273"/>
      <c r="I292" s="274"/>
      <c r="J292" s="6"/>
      <c r="K292" s="6"/>
      <c r="L292" s="6"/>
      <c r="M292" s="6"/>
      <c r="N292" s="6"/>
    </row>
    <row r="293">
      <c r="A293" s="281"/>
      <c r="B293" s="282"/>
      <c r="C293" s="278"/>
      <c r="D293" s="284"/>
      <c r="E293" s="285"/>
      <c r="F293" s="271"/>
      <c r="G293" s="272"/>
      <c r="H293" s="273"/>
      <c r="I293" s="274"/>
      <c r="J293" s="6"/>
      <c r="K293" s="6"/>
      <c r="L293" s="6"/>
      <c r="M293" s="6"/>
      <c r="N293" s="6"/>
    </row>
    <row r="294">
      <c r="A294" s="281"/>
      <c r="B294" s="282"/>
      <c r="C294" s="278"/>
      <c r="D294" s="284"/>
      <c r="E294" s="285"/>
      <c r="F294" s="271"/>
      <c r="G294" s="272"/>
      <c r="H294" s="273"/>
      <c r="I294" s="274"/>
      <c r="J294" s="6"/>
      <c r="K294" s="6"/>
      <c r="L294" s="6"/>
      <c r="M294" s="6"/>
      <c r="N294" s="6"/>
    </row>
    <row r="295">
      <c r="A295" s="281"/>
      <c r="B295" s="282"/>
      <c r="C295" s="278"/>
      <c r="D295" s="284"/>
      <c r="E295" s="285"/>
      <c r="F295" s="271"/>
      <c r="G295" s="272"/>
      <c r="H295" s="273"/>
      <c r="I295" s="274"/>
      <c r="J295" s="6"/>
      <c r="K295" s="6"/>
      <c r="L295" s="6"/>
      <c r="M295" s="6"/>
      <c r="N295" s="6"/>
    </row>
    <row r="296">
      <c r="A296" s="281"/>
      <c r="B296" s="282"/>
      <c r="C296" s="278"/>
      <c r="D296" s="284"/>
      <c r="E296" s="285"/>
      <c r="F296" s="271"/>
      <c r="G296" s="272"/>
      <c r="H296" s="273"/>
      <c r="I296" s="274"/>
      <c r="J296" s="6"/>
      <c r="K296" s="6"/>
      <c r="L296" s="6"/>
      <c r="M296" s="6"/>
      <c r="N296" s="6"/>
    </row>
    <row r="297">
      <c r="A297" s="281"/>
      <c r="B297" s="282"/>
      <c r="C297" s="278"/>
      <c r="D297" s="284"/>
      <c r="E297" s="285"/>
      <c r="F297" s="271"/>
      <c r="G297" s="272"/>
      <c r="H297" s="273"/>
      <c r="I297" s="274"/>
      <c r="J297" s="6"/>
      <c r="K297" s="6"/>
      <c r="L297" s="6"/>
      <c r="M297" s="6"/>
      <c r="N297" s="6"/>
    </row>
    <row r="298">
      <c r="A298" s="281"/>
      <c r="B298" s="282"/>
      <c r="C298" s="278"/>
      <c r="D298" s="284"/>
      <c r="E298" s="285"/>
      <c r="F298" s="271"/>
      <c r="G298" s="272"/>
      <c r="H298" s="273"/>
      <c r="I298" s="274"/>
      <c r="J298" s="6"/>
      <c r="K298" s="6"/>
      <c r="L298" s="6"/>
      <c r="M298" s="6"/>
      <c r="N298" s="6"/>
    </row>
    <row r="299">
      <c r="A299" s="281"/>
      <c r="B299" s="282"/>
      <c r="C299" s="278"/>
      <c r="D299" s="284"/>
      <c r="E299" s="285"/>
      <c r="F299" s="271"/>
      <c r="G299" s="272"/>
      <c r="H299" s="273"/>
      <c r="I299" s="274"/>
      <c r="J299" s="6"/>
      <c r="K299" s="6"/>
      <c r="L299" s="6"/>
      <c r="M299" s="6"/>
      <c r="N299" s="6"/>
    </row>
    <row r="300">
      <c r="A300" s="281"/>
      <c r="B300" s="282"/>
      <c r="C300" s="278"/>
      <c r="D300" s="284"/>
      <c r="E300" s="285"/>
      <c r="F300" s="271"/>
      <c r="G300" s="272"/>
      <c r="H300" s="273"/>
      <c r="I300" s="274"/>
      <c r="J300" s="6"/>
      <c r="K300" s="6"/>
      <c r="L300" s="6"/>
      <c r="M300" s="6"/>
      <c r="N300" s="6"/>
    </row>
    <row r="301">
      <c r="A301" s="281"/>
      <c r="B301" s="282"/>
      <c r="C301" s="278"/>
      <c r="D301" s="284"/>
      <c r="E301" s="285"/>
      <c r="F301" s="271"/>
      <c r="G301" s="272"/>
      <c r="H301" s="273"/>
      <c r="I301" s="274"/>
      <c r="J301" s="6"/>
      <c r="K301" s="6"/>
      <c r="L301" s="6"/>
      <c r="M301" s="6"/>
      <c r="N301" s="6"/>
    </row>
    <row r="302">
      <c r="A302" s="281"/>
      <c r="B302" s="282"/>
      <c r="C302" s="278"/>
      <c r="D302" s="284"/>
      <c r="E302" s="285"/>
      <c r="F302" s="271"/>
      <c r="G302" s="272"/>
      <c r="H302" s="273"/>
      <c r="I302" s="274"/>
      <c r="J302" s="6"/>
      <c r="K302" s="6"/>
      <c r="L302" s="6"/>
      <c r="M302" s="6"/>
      <c r="N302" s="6"/>
    </row>
    <row r="303">
      <c r="A303" s="281"/>
      <c r="B303" s="282"/>
      <c r="C303" s="278"/>
      <c r="D303" s="284"/>
      <c r="E303" s="285"/>
      <c r="F303" s="271"/>
      <c r="G303" s="272"/>
      <c r="H303" s="273"/>
      <c r="I303" s="274"/>
      <c r="J303" s="6"/>
      <c r="K303" s="6"/>
      <c r="L303" s="6"/>
      <c r="M303" s="6"/>
      <c r="N303" s="6"/>
    </row>
    <row r="304">
      <c r="A304" s="281"/>
      <c r="B304" s="282"/>
      <c r="C304" s="278"/>
      <c r="D304" s="284"/>
      <c r="E304" s="285"/>
      <c r="F304" s="271"/>
      <c r="G304" s="272"/>
      <c r="H304" s="273"/>
      <c r="I304" s="274"/>
      <c r="J304" s="6"/>
      <c r="K304" s="6"/>
      <c r="L304" s="6"/>
      <c r="M304" s="6"/>
      <c r="N304" s="6"/>
    </row>
    <row r="305">
      <c r="A305" s="281"/>
      <c r="B305" s="282"/>
      <c r="C305" s="278"/>
      <c r="D305" s="284"/>
      <c r="E305" s="285"/>
      <c r="F305" s="271"/>
      <c r="G305" s="272"/>
      <c r="H305" s="273"/>
      <c r="I305" s="274"/>
      <c r="J305" s="6"/>
      <c r="K305" s="6"/>
      <c r="L305" s="6"/>
      <c r="M305" s="6"/>
      <c r="N305" s="6"/>
    </row>
    <row r="306">
      <c r="A306" s="281"/>
      <c r="B306" s="282"/>
      <c r="C306" s="278"/>
      <c r="D306" s="284"/>
      <c r="E306" s="285"/>
      <c r="F306" s="271"/>
      <c r="G306" s="272"/>
      <c r="H306" s="273"/>
      <c r="I306" s="274"/>
      <c r="J306" s="6"/>
      <c r="K306" s="6"/>
      <c r="L306" s="6"/>
      <c r="M306" s="6"/>
      <c r="N306" s="6"/>
    </row>
    <row r="307">
      <c r="A307" s="281"/>
      <c r="B307" s="282"/>
      <c r="C307" s="278"/>
      <c r="D307" s="284"/>
      <c r="E307" s="285"/>
      <c r="F307" s="271"/>
      <c r="G307" s="272"/>
      <c r="H307" s="273"/>
      <c r="I307" s="274"/>
      <c r="J307" s="6"/>
      <c r="K307" s="6"/>
      <c r="L307" s="6"/>
      <c r="M307" s="6"/>
      <c r="N307" s="6"/>
    </row>
    <row r="308">
      <c r="A308" s="281"/>
      <c r="B308" s="282"/>
      <c r="C308" s="278"/>
      <c r="D308" s="284"/>
      <c r="E308" s="285"/>
      <c r="F308" s="271"/>
      <c r="G308" s="272"/>
      <c r="H308" s="273"/>
      <c r="I308" s="274"/>
      <c r="J308" s="6"/>
      <c r="K308" s="6"/>
      <c r="L308" s="6"/>
      <c r="M308" s="6"/>
      <c r="N308" s="6"/>
    </row>
    <row r="309">
      <c r="A309" s="281"/>
      <c r="B309" s="282"/>
      <c r="C309" s="278"/>
      <c r="D309" s="284"/>
      <c r="E309" s="285"/>
      <c r="F309" s="271"/>
      <c r="G309" s="272"/>
      <c r="H309" s="273"/>
      <c r="I309" s="274"/>
      <c r="J309" s="6"/>
      <c r="K309" s="6"/>
      <c r="L309" s="6"/>
      <c r="M309" s="6"/>
      <c r="N309" s="6"/>
    </row>
    <row r="310">
      <c r="A310" s="281"/>
      <c r="B310" s="282"/>
      <c r="C310" s="278"/>
      <c r="D310" s="284"/>
      <c r="E310" s="285"/>
      <c r="F310" s="271"/>
      <c r="G310" s="272"/>
      <c r="H310" s="273"/>
      <c r="I310" s="274"/>
      <c r="J310" s="6"/>
      <c r="K310" s="6"/>
      <c r="L310" s="6"/>
      <c r="M310" s="6"/>
      <c r="N310" s="6"/>
    </row>
    <row r="311">
      <c r="A311" s="281"/>
      <c r="B311" s="282"/>
      <c r="C311" s="278"/>
      <c r="D311" s="284"/>
      <c r="E311" s="285"/>
      <c r="F311" s="271"/>
      <c r="G311" s="272"/>
      <c r="H311" s="273"/>
      <c r="I311" s="274"/>
      <c r="J311" s="6"/>
      <c r="K311" s="6"/>
      <c r="L311" s="6"/>
      <c r="M311" s="6"/>
      <c r="N311" s="6"/>
    </row>
    <row r="312">
      <c r="A312" s="281"/>
      <c r="B312" s="282"/>
      <c r="C312" s="278"/>
      <c r="D312" s="284"/>
      <c r="E312" s="285"/>
      <c r="F312" s="271"/>
      <c r="G312" s="272"/>
      <c r="H312" s="273"/>
      <c r="I312" s="274"/>
      <c r="J312" s="6"/>
      <c r="K312" s="6"/>
      <c r="L312" s="6"/>
      <c r="M312" s="6"/>
      <c r="N312" s="6"/>
    </row>
    <row r="313">
      <c r="A313" s="281"/>
      <c r="B313" s="282"/>
      <c r="C313" s="278"/>
      <c r="D313" s="284"/>
      <c r="E313" s="285"/>
      <c r="F313" s="271"/>
      <c r="G313" s="272"/>
      <c r="H313" s="273"/>
      <c r="I313" s="274"/>
      <c r="J313" s="6"/>
      <c r="K313" s="6"/>
      <c r="L313" s="6"/>
      <c r="M313" s="6"/>
      <c r="N313" s="6"/>
    </row>
    <row r="314">
      <c r="A314" s="281"/>
      <c r="B314" s="282"/>
      <c r="C314" s="278"/>
      <c r="D314" s="284"/>
      <c r="E314" s="285"/>
      <c r="F314" s="271"/>
      <c r="G314" s="272"/>
      <c r="H314" s="273"/>
      <c r="I314" s="274"/>
      <c r="J314" s="6"/>
      <c r="K314" s="6"/>
      <c r="L314" s="6"/>
      <c r="M314" s="6"/>
      <c r="N314" s="6"/>
    </row>
    <row r="315">
      <c r="A315" s="281"/>
      <c r="B315" s="282"/>
      <c r="C315" s="278"/>
      <c r="D315" s="284"/>
      <c r="E315" s="285"/>
      <c r="F315" s="271"/>
      <c r="G315" s="272"/>
      <c r="H315" s="273"/>
      <c r="I315" s="274"/>
      <c r="J315" s="6"/>
      <c r="K315" s="6"/>
      <c r="L315" s="6"/>
      <c r="M315" s="6"/>
      <c r="N315" s="6"/>
    </row>
    <row r="316">
      <c r="A316" s="281"/>
      <c r="B316" s="282"/>
      <c r="C316" s="278"/>
      <c r="D316" s="284"/>
      <c r="E316" s="285"/>
      <c r="F316" s="271"/>
      <c r="G316" s="272"/>
      <c r="H316" s="273"/>
      <c r="I316" s="274"/>
      <c r="J316" s="6"/>
      <c r="K316" s="6"/>
      <c r="L316" s="6"/>
      <c r="M316" s="6"/>
      <c r="N316" s="6"/>
    </row>
    <row r="317">
      <c r="A317" s="281"/>
      <c r="B317" s="282"/>
      <c r="C317" s="278"/>
      <c r="D317" s="284"/>
      <c r="E317" s="285"/>
      <c r="F317" s="271"/>
      <c r="G317" s="272"/>
      <c r="H317" s="273"/>
      <c r="I317" s="274"/>
      <c r="J317" s="6"/>
      <c r="K317" s="6"/>
      <c r="L317" s="6"/>
      <c r="M317" s="6"/>
      <c r="N317" s="6"/>
    </row>
    <row r="318">
      <c r="A318" s="281"/>
      <c r="B318" s="282"/>
      <c r="C318" s="278"/>
      <c r="D318" s="284"/>
      <c r="E318" s="285"/>
      <c r="F318" s="271"/>
      <c r="G318" s="272"/>
      <c r="H318" s="273"/>
      <c r="I318" s="274"/>
      <c r="J318" s="6"/>
      <c r="K318" s="6"/>
      <c r="L318" s="6"/>
      <c r="M318" s="6"/>
      <c r="N318" s="6"/>
    </row>
    <row r="319">
      <c r="A319" s="281"/>
      <c r="B319" s="282"/>
      <c r="C319" s="278"/>
      <c r="D319" s="284"/>
      <c r="E319" s="285"/>
      <c r="F319" s="271"/>
      <c r="G319" s="272"/>
      <c r="H319" s="273"/>
      <c r="I319" s="274"/>
      <c r="J319" s="6"/>
      <c r="K319" s="6"/>
      <c r="L319" s="6"/>
      <c r="M319" s="6"/>
      <c r="N319" s="6"/>
    </row>
    <row r="320">
      <c r="A320" s="281"/>
      <c r="B320" s="282"/>
      <c r="C320" s="278"/>
      <c r="D320" s="284"/>
      <c r="E320" s="285"/>
      <c r="F320" s="271"/>
      <c r="G320" s="272"/>
      <c r="H320" s="273"/>
      <c r="I320" s="274"/>
      <c r="J320" s="6"/>
      <c r="K320" s="6"/>
      <c r="L320" s="6"/>
      <c r="M320" s="6"/>
      <c r="N320" s="6"/>
    </row>
    <row r="321">
      <c r="A321" s="281"/>
      <c r="B321" s="282"/>
      <c r="C321" s="278"/>
      <c r="D321" s="284"/>
      <c r="E321" s="285"/>
      <c r="F321" s="271"/>
      <c r="G321" s="272"/>
      <c r="H321" s="273"/>
      <c r="I321" s="274"/>
      <c r="J321" s="6"/>
      <c r="K321" s="6"/>
      <c r="L321" s="6"/>
      <c r="M321" s="6"/>
      <c r="N321" s="6"/>
    </row>
    <row r="322">
      <c r="A322" s="281"/>
      <c r="B322" s="282"/>
      <c r="C322" s="278"/>
      <c r="D322" s="284"/>
      <c r="E322" s="285"/>
      <c r="F322" s="271"/>
      <c r="G322" s="272"/>
      <c r="H322" s="273"/>
      <c r="I322" s="274"/>
      <c r="J322" s="6"/>
      <c r="K322" s="6"/>
      <c r="L322" s="6"/>
      <c r="M322" s="6"/>
      <c r="N322" s="6"/>
    </row>
    <row r="323">
      <c r="A323" s="281"/>
      <c r="B323" s="282"/>
      <c r="C323" s="278"/>
      <c r="D323" s="284"/>
      <c r="E323" s="285"/>
      <c r="F323" s="271"/>
      <c r="G323" s="272"/>
      <c r="H323" s="273"/>
      <c r="I323" s="274"/>
      <c r="J323" s="6"/>
      <c r="K323" s="6"/>
      <c r="L323" s="6"/>
      <c r="M323" s="6"/>
      <c r="N323" s="6"/>
    </row>
    <row r="324">
      <c r="A324" s="281"/>
      <c r="B324" s="282"/>
      <c r="C324" s="278"/>
      <c r="D324" s="284"/>
      <c r="E324" s="285"/>
      <c r="F324" s="271"/>
      <c r="G324" s="272"/>
      <c r="H324" s="273"/>
      <c r="I324" s="274"/>
      <c r="J324" s="6"/>
      <c r="K324" s="6"/>
      <c r="L324" s="6"/>
      <c r="M324" s="6"/>
      <c r="N324" s="6"/>
    </row>
    <row r="325">
      <c r="A325" s="281"/>
      <c r="B325" s="282"/>
      <c r="C325" s="278"/>
      <c r="D325" s="284"/>
      <c r="E325" s="285"/>
      <c r="F325" s="271"/>
      <c r="G325" s="272"/>
      <c r="H325" s="273"/>
      <c r="I325" s="274"/>
      <c r="J325" s="6"/>
      <c r="K325" s="6"/>
      <c r="L325" s="6"/>
      <c r="M325" s="6"/>
      <c r="N325" s="6"/>
    </row>
    <row r="326">
      <c r="A326" s="281"/>
      <c r="B326" s="282"/>
      <c r="C326" s="278"/>
      <c r="D326" s="284"/>
      <c r="E326" s="285"/>
      <c r="F326" s="271"/>
      <c r="G326" s="272"/>
      <c r="H326" s="273"/>
      <c r="I326" s="274"/>
      <c r="J326" s="6"/>
      <c r="K326" s="6"/>
      <c r="L326" s="6"/>
      <c r="M326" s="6"/>
      <c r="N326" s="6"/>
    </row>
    <row r="327">
      <c r="A327" s="281"/>
      <c r="B327" s="282"/>
      <c r="C327" s="278"/>
      <c r="D327" s="284"/>
      <c r="E327" s="285"/>
      <c r="F327" s="271"/>
      <c r="G327" s="272"/>
      <c r="H327" s="273"/>
      <c r="I327" s="274"/>
      <c r="J327" s="6"/>
      <c r="K327" s="6"/>
      <c r="L327" s="6"/>
      <c r="M327" s="6"/>
      <c r="N327" s="6"/>
    </row>
    <row r="328">
      <c r="A328" s="281"/>
      <c r="B328" s="282"/>
      <c r="C328" s="278"/>
      <c r="D328" s="284"/>
      <c r="E328" s="285"/>
      <c r="F328" s="271"/>
      <c r="G328" s="272"/>
      <c r="H328" s="273"/>
      <c r="I328" s="274"/>
      <c r="J328" s="6"/>
      <c r="K328" s="6"/>
      <c r="L328" s="6"/>
      <c r="M328" s="6"/>
      <c r="N328" s="6"/>
    </row>
    <row r="329">
      <c r="A329" s="281"/>
      <c r="B329" s="282"/>
      <c r="C329" s="278"/>
      <c r="D329" s="284"/>
      <c r="E329" s="285"/>
      <c r="F329" s="271"/>
      <c r="G329" s="272"/>
      <c r="H329" s="273"/>
      <c r="I329" s="274"/>
      <c r="J329" s="6"/>
      <c r="K329" s="6"/>
      <c r="L329" s="6"/>
      <c r="M329" s="6"/>
      <c r="N329" s="6"/>
    </row>
    <row r="330">
      <c r="A330" s="281"/>
      <c r="B330" s="282"/>
      <c r="C330" s="278"/>
      <c r="D330" s="284"/>
      <c r="E330" s="285"/>
      <c r="F330" s="271"/>
      <c r="G330" s="272"/>
      <c r="H330" s="273"/>
      <c r="I330" s="274"/>
      <c r="J330" s="6"/>
      <c r="K330" s="6"/>
      <c r="L330" s="6"/>
      <c r="M330" s="6"/>
      <c r="N330" s="6"/>
    </row>
    <row r="331">
      <c r="A331" s="281"/>
      <c r="B331" s="282"/>
      <c r="C331" s="278"/>
      <c r="D331" s="284"/>
      <c r="E331" s="285"/>
      <c r="F331" s="271"/>
      <c r="G331" s="272"/>
      <c r="H331" s="273"/>
      <c r="I331" s="274"/>
      <c r="J331" s="6"/>
      <c r="K331" s="6"/>
      <c r="L331" s="6"/>
      <c r="M331" s="6"/>
      <c r="N331" s="6"/>
    </row>
    <row r="332">
      <c r="A332" s="281"/>
      <c r="B332" s="282"/>
      <c r="C332" s="278"/>
      <c r="D332" s="284"/>
      <c r="E332" s="285"/>
      <c r="F332" s="271"/>
      <c r="G332" s="272"/>
      <c r="H332" s="273"/>
      <c r="I332" s="274"/>
      <c r="J332" s="6"/>
      <c r="K332" s="6"/>
      <c r="L332" s="6"/>
      <c r="M332" s="6"/>
      <c r="N332" s="6"/>
    </row>
    <row r="333">
      <c r="A333" s="281"/>
      <c r="B333" s="282"/>
      <c r="C333" s="278"/>
      <c r="D333" s="284"/>
      <c r="E333" s="285"/>
      <c r="F333" s="271"/>
      <c r="G333" s="272"/>
      <c r="H333" s="273"/>
      <c r="I333" s="274"/>
      <c r="J333" s="6"/>
      <c r="K333" s="6"/>
      <c r="L333" s="6"/>
      <c r="M333" s="6"/>
      <c r="N333" s="6"/>
    </row>
    <row r="334">
      <c r="A334" s="281"/>
      <c r="B334" s="282"/>
      <c r="C334" s="278"/>
      <c r="D334" s="284"/>
      <c r="E334" s="285"/>
      <c r="F334" s="271"/>
      <c r="G334" s="272"/>
      <c r="H334" s="273"/>
      <c r="I334" s="274"/>
      <c r="J334" s="6"/>
      <c r="K334" s="6"/>
      <c r="L334" s="6"/>
      <c r="M334" s="6"/>
      <c r="N334" s="6"/>
    </row>
    <row r="335">
      <c r="A335" s="281"/>
      <c r="B335" s="282"/>
      <c r="C335" s="278"/>
      <c r="D335" s="284"/>
      <c r="E335" s="285"/>
      <c r="F335" s="271"/>
      <c r="G335" s="272"/>
      <c r="H335" s="273"/>
      <c r="I335" s="274"/>
      <c r="J335" s="6"/>
      <c r="K335" s="6"/>
      <c r="L335" s="6"/>
      <c r="M335" s="6"/>
      <c r="N335" s="6"/>
    </row>
    <row r="336">
      <c r="A336" s="281"/>
      <c r="B336" s="282"/>
      <c r="C336" s="278"/>
      <c r="D336" s="284"/>
      <c r="E336" s="285"/>
      <c r="F336" s="271"/>
      <c r="G336" s="272"/>
      <c r="H336" s="273"/>
      <c r="I336" s="274"/>
      <c r="J336" s="6"/>
      <c r="K336" s="6"/>
      <c r="L336" s="6"/>
      <c r="M336" s="6"/>
      <c r="N336" s="6"/>
    </row>
    <row r="337">
      <c r="A337" s="281"/>
      <c r="B337" s="282"/>
      <c r="C337" s="278"/>
      <c r="D337" s="284"/>
      <c r="E337" s="285"/>
      <c r="F337" s="271"/>
      <c r="G337" s="272"/>
      <c r="H337" s="273"/>
      <c r="I337" s="274"/>
      <c r="J337" s="6"/>
      <c r="K337" s="6"/>
      <c r="L337" s="6"/>
      <c r="M337" s="6"/>
      <c r="N337" s="6"/>
    </row>
    <row r="338">
      <c r="A338" s="281"/>
      <c r="B338" s="282"/>
      <c r="C338" s="278"/>
      <c r="D338" s="284"/>
      <c r="E338" s="285"/>
      <c r="F338" s="271"/>
      <c r="G338" s="272"/>
      <c r="H338" s="273"/>
      <c r="I338" s="274"/>
      <c r="J338" s="6"/>
      <c r="K338" s="6"/>
      <c r="L338" s="6"/>
      <c r="M338" s="6"/>
      <c r="N338" s="6"/>
    </row>
    <row r="339">
      <c r="A339" s="281"/>
      <c r="B339" s="282"/>
      <c r="C339" s="278"/>
      <c r="D339" s="284"/>
      <c r="E339" s="285"/>
      <c r="F339" s="271"/>
      <c r="G339" s="272"/>
      <c r="H339" s="273"/>
      <c r="I339" s="274"/>
      <c r="J339" s="6"/>
      <c r="K339" s="6"/>
      <c r="L339" s="6"/>
      <c r="M339" s="6"/>
      <c r="N339" s="6"/>
    </row>
    <row r="340">
      <c r="A340" s="281"/>
      <c r="B340" s="282"/>
      <c r="C340" s="278"/>
      <c r="D340" s="284"/>
      <c r="E340" s="285"/>
      <c r="F340" s="271"/>
      <c r="G340" s="272"/>
      <c r="H340" s="273"/>
      <c r="I340" s="274"/>
      <c r="J340" s="6"/>
      <c r="K340" s="6"/>
      <c r="L340" s="6"/>
      <c r="M340" s="6"/>
      <c r="N340" s="6"/>
    </row>
    <row r="341">
      <c r="A341" s="281"/>
      <c r="B341" s="282"/>
      <c r="C341" s="278"/>
      <c r="D341" s="284"/>
      <c r="E341" s="285"/>
      <c r="F341" s="271"/>
      <c r="G341" s="272"/>
      <c r="H341" s="273"/>
      <c r="I341" s="274"/>
      <c r="J341" s="6"/>
      <c r="K341" s="6"/>
      <c r="L341" s="6"/>
      <c r="M341" s="6"/>
      <c r="N341" s="6"/>
    </row>
    <row r="342">
      <c r="A342" s="281"/>
      <c r="B342" s="282"/>
      <c r="C342" s="278"/>
      <c r="D342" s="284"/>
      <c r="E342" s="285"/>
      <c r="F342" s="271"/>
      <c r="G342" s="272"/>
      <c r="H342" s="273"/>
      <c r="I342" s="274"/>
      <c r="J342" s="6"/>
      <c r="K342" s="6"/>
      <c r="L342" s="6"/>
      <c r="M342" s="6"/>
      <c r="N342" s="6"/>
    </row>
    <row r="343">
      <c r="A343" s="281"/>
      <c r="B343" s="282"/>
      <c r="C343" s="278"/>
      <c r="D343" s="284"/>
      <c r="E343" s="285"/>
      <c r="F343" s="271"/>
      <c r="G343" s="272"/>
      <c r="H343" s="273"/>
      <c r="I343" s="274"/>
      <c r="J343" s="6"/>
      <c r="K343" s="6"/>
      <c r="L343" s="6"/>
      <c r="M343" s="6"/>
      <c r="N343" s="6"/>
    </row>
    <row r="344">
      <c r="A344" s="281"/>
      <c r="B344" s="282"/>
      <c r="C344" s="278"/>
      <c r="D344" s="284"/>
      <c r="E344" s="285"/>
      <c r="F344" s="271"/>
      <c r="G344" s="272"/>
      <c r="H344" s="273"/>
      <c r="I344" s="274"/>
      <c r="J344" s="6"/>
      <c r="K344" s="6"/>
      <c r="L344" s="6"/>
      <c r="M344" s="6"/>
      <c r="N344" s="6"/>
    </row>
    <row r="345">
      <c r="A345" s="281"/>
      <c r="B345" s="282"/>
      <c r="C345" s="278"/>
      <c r="D345" s="284"/>
      <c r="E345" s="285"/>
      <c r="F345" s="271"/>
      <c r="G345" s="272"/>
      <c r="H345" s="273"/>
      <c r="I345" s="274"/>
      <c r="J345" s="6"/>
      <c r="K345" s="6"/>
      <c r="L345" s="6"/>
      <c r="M345" s="6"/>
      <c r="N345" s="6"/>
    </row>
    <row r="346">
      <c r="A346" s="281"/>
      <c r="B346" s="282"/>
      <c r="C346" s="278"/>
      <c r="D346" s="284"/>
      <c r="E346" s="285"/>
      <c r="F346" s="271"/>
      <c r="G346" s="272"/>
      <c r="H346" s="273"/>
      <c r="I346" s="274"/>
      <c r="J346" s="6"/>
      <c r="K346" s="6"/>
      <c r="L346" s="6"/>
      <c r="M346" s="6"/>
      <c r="N346" s="6"/>
    </row>
    <row r="347">
      <c r="A347" s="281"/>
      <c r="B347" s="282"/>
      <c r="C347" s="278"/>
      <c r="D347" s="284"/>
      <c r="E347" s="285"/>
      <c r="F347" s="271"/>
      <c r="G347" s="272"/>
      <c r="H347" s="273"/>
      <c r="I347" s="274"/>
      <c r="J347" s="6"/>
      <c r="K347" s="6"/>
      <c r="L347" s="6"/>
      <c r="M347" s="6"/>
      <c r="N347" s="6"/>
    </row>
    <row r="348">
      <c r="A348" s="281"/>
      <c r="B348" s="282"/>
      <c r="C348" s="278"/>
      <c r="D348" s="284"/>
      <c r="E348" s="285"/>
      <c r="F348" s="271"/>
      <c r="G348" s="272"/>
      <c r="H348" s="273"/>
      <c r="I348" s="274"/>
      <c r="J348" s="6"/>
      <c r="K348" s="6"/>
      <c r="L348" s="6"/>
      <c r="M348" s="6"/>
      <c r="N348" s="6"/>
    </row>
    <row r="349">
      <c r="A349" s="281"/>
      <c r="B349" s="282"/>
      <c r="C349" s="278"/>
      <c r="D349" s="284"/>
      <c r="E349" s="285"/>
      <c r="F349" s="271"/>
      <c r="G349" s="272"/>
      <c r="H349" s="273"/>
      <c r="I349" s="274"/>
      <c r="J349" s="6"/>
      <c r="K349" s="6"/>
      <c r="L349" s="6"/>
      <c r="M349" s="6"/>
      <c r="N349" s="6"/>
    </row>
    <row r="350">
      <c r="A350" s="281"/>
      <c r="B350" s="282"/>
      <c r="C350" s="278"/>
      <c r="D350" s="284"/>
      <c r="E350" s="285"/>
      <c r="F350" s="271"/>
      <c r="G350" s="272"/>
      <c r="H350" s="273"/>
      <c r="I350" s="274"/>
      <c r="J350" s="6"/>
      <c r="K350" s="6"/>
      <c r="L350" s="6"/>
      <c r="M350" s="6"/>
      <c r="N350" s="6"/>
    </row>
    <row r="351">
      <c r="A351" s="281"/>
      <c r="B351" s="282"/>
      <c r="C351" s="278"/>
      <c r="D351" s="284"/>
      <c r="E351" s="285"/>
      <c r="F351" s="271"/>
      <c r="G351" s="272"/>
      <c r="H351" s="273"/>
      <c r="I351" s="274"/>
      <c r="J351" s="6"/>
      <c r="K351" s="6"/>
      <c r="L351" s="6"/>
      <c r="M351" s="6"/>
      <c r="N351" s="6"/>
    </row>
    <row r="352">
      <c r="A352" s="281"/>
      <c r="B352" s="282"/>
      <c r="C352" s="278"/>
      <c r="D352" s="284"/>
      <c r="E352" s="285"/>
      <c r="F352" s="271"/>
      <c r="G352" s="272"/>
      <c r="H352" s="273"/>
      <c r="I352" s="274"/>
      <c r="J352" s="6"/>
      <c r="K352" s="6"/>
      <c r="L352" s="6"/>
      <c r="M352" s="6"/>
      <c r="N352" s="6"/>
    </row>
    <row r="353">
      <c r="A353" s="281"/>
      <c r="B353" s="282"/>
      <c r="C353" s="278"/>
      <c r="D353" s="284"/>
      <c r="E353" s="285"/>
      <c r="F353" s="271"/>
      <c r="G353" s="272"/>
      <c r="H353" s="273"/>
      <c r="I353" s="274"/>
      <c r="J353" s="6"/>
      <c r="K353" s="6"/>
      <c r="L353" s="6"/>
      <c r="M353" s="6"/>
      <c r="N353" s="6"/>
    </row>
    <row r="354">
      <c r="A354" s="281"/>
      <c r="B354" s="282"/>
      <c r="C354" s="278"/>
      <c r="D354" s="284"/>
      <c r="E354" s="285"/>
      <c r="F354" s="271"/>
      <c r="G354" s="272"/>
      <c r="H354" s="273"/>
      <c r="I354" s="274"/>
      <c r="J354" s="6"/>
      <c r="K354" s="6"/>
      <c r="L354" s="6"/>
      <c r="M354" s="6"/>
      <c r="N354" s="6"/>
    </row>
    <row r="355">
      <c r="A355" s="281"/>
      <c r="B355" s="282"/>
      <c r="C355" s="278"/>
      <c r="D355" s="284"/>
      <c r="E355" s="285"/>
      <c r="F355" s="271"/>
      <c r="G355" s="272"/>
      <c r="H355" s="273"/>
      <c r="I355" s="274"/>
      <c r="J355" s="6"/>
      <c r="K355" s="6"/>
      <c r="L355" s="6"/>
      <c r="M355" s="6"/>
      <c r="N355" s="6"/>
    </row>
    <row r="356">
      <c r="A356" s="281"/>
      <c r="B356" s="282"/>
      <c r="C356" s="278"/>
      <c r="D356" s="284"/>
      <c r="E356" s="285"/>
      <c r="F356" s="271"/>
      <c r="G356" s="272"/>
      <c r="H356" s="273"/>
      <c r="I356" s="274"/>
      <c r="J356" s="6"/>
      <c r="K356" s="6"/>
      <c r="L356" s="6"/>
      <c r="M356" s="6"/>
      <c r="N356" s="6"/>
    </row>
    <row r="357">
      <c r="A357" s="281"/>
      <c r="B357" s="282"/>
      <c r="C357" s="278"/>
      <c r="D357" s="284"/>
      <c r="E357" s="285"/>
      <c r="F357" s="271"/>
      <c r="G357" s="272"/>
      <c r="H357" s="273"/>
      <c r="I357" s="274"/>
      <c r="J357" s="6"/>
      <c r="K357" s="6"/>
      <c r="L357" s="6"/>
      <c r="M357" s="6"/>
      <c r="N357" s="6"/>
    </row>
    <row r="358">
      <c r="A358" s="281"/>
      <c r="B358" s="282"/>
      <c r="C358" s="278"/>
      <c r="D358" s="284"/>
      <c r="E358" s="285"/>
      <c r="F358" s="271"/>
      <c r="G358" s="272"/>
      <c r="H358" s="273"/>
      <c r="I358" s="274"/>
      <c r="J358" s="6"/>
      <c r="K358" s="6"/>
      <c r="L358" s="6"/>
      <c r="M358" s="6"/>
      <c r="N358" s="6"/>
    </row>
    <row r="359">
      <c r="A359" s="281"/>
      <c r="B359" s="282"/>
      <c r="C359" s="278"/>
      <c r="D359" s="284"/>
      <c r="E359" s="285"/>
      <c r="F359" s="271"/>
      <c r="G359" s="272"/>
      <c r="H359" s="273"/>
      <c r="I359" s="274"/>
      <c r="J359" s="6"/>
      <c r="K359" s="6"/>
      <c r="L359" s="6"/>
      <c r="M359" s="6"/>
      <c r="N359" s="6"/>
    </row>
    <row r="360">
      <c r="A360" s="281"/>
      <c r="B360" s="282"/>
      <c r="C360" s="278"/>
      <c r="D360" s="284"/>
      <c r="E360" s="285"/>
      <c r="F360" s="271"/>
      <c r="G360" s="272"/>
      <c r="H360" s="273"/>
      <c r="I360" s="274"/>
      <c r="J360" s="6"/>
      <c r="K360" s="6"/>
      <c r="L360" s="6"/>
      <c r="M360" s="6"/>
      <c r="N360" s="6"/>
    </row>
    <row r="361">
      <c r="A361" s="281"/>
      <c r="B361" s="282"/>
      <c r="C361" s="278"/>
      <c r="D361" s="284"/>
      <c r="E361" s="285"/>
      <c r="F361" s="271"/>
      <c r="G361" s="272"/>
      <c r="H361" s="273"/>
      <c r="I361" s="274"/>
      <c r="J361" s="6"/>
      <c r="K361" s="6"/>
      <c r="L361" s="6"/>
      <c r="M361" s="6"/>
      <c r="N361" s="6"/>
    </row>
    <row r="362">
      <c r="A362" s="281"/>
      <c r="B362" s="282"/>
      <c r="C362" s="278"/>
      <c r="D362" s="284"/>
      <c r="E362" s="285"/>
      <c r="F362" s="271"/>
      <c r="G362" s="272"/>
      <c r="H362" s="273"/>
      <c r="I362" s="274"/>
      <c r="J362" s="6"/>
      <c r="K362" s="6"/>
      <c r="L362" s="6"/>
      <c r="M362" s="6"/>
      <c r="N362" s="6"/>
    </row>
    <row r="363">
      <c r="A363" s="281"/>
      <c r="B363" s="282"/>
      <c r="C363" s="278"/>
      <c r="D363" s="284"/>
      <c r="E363" s="285"/>
      <c r="F363" s="271"/>
      <c r="G363" s="272"/>
      <c r="H363" s="273"/>
      <c r="I363" s="274"/>
      <c r="J363" s="6"/>
      <c r="K363" s="6"/>
      <c r="L363" s="6"/>
      <c r="M363" s="6"/>
      <c r="N363" s="6"/>
    </row>
    <row r="364">
      <c r="A364" s="281"/>
      <c r="B364" s="282"/>
      <c r="C364" s="278"/>
      <c r="D364" s="284"/>
      <c r="E364" s="285"/>
      <c r="F364" s="271"/>
      <c r="G364" s="272"/>
      <c r="H364" s="273"/>
      <c r="I364" s="274"/>
      <c r="J364" s="6"/>
      <c r="K364" s="6"/>
      <c r="L364" s="6"/>
      <c r="M364" s="6"/>
      <c r="N364" s="6"/>
    </row>
    <row r="365">
      <c r="A365" s="281"/>
      <c r="B365" s="282"/>
      <c r="C365" s="278"/>
      <c r="D365" s="284"/>
      <c r="E365" s="285"/>
      <c r="F365" s="271"/>
      <c r="G365" s="272"/>
      <c r="H365" s="273"/>
      <c r="I365" s="274"/>
      <c r="J365" s="6"/>
      <c r="K365" s="6"/>
      <c r="L365" s="6"/>
      <c r="M365" s="6"/>
      <c r="N365" s="6"/>
    </row>
    <row r="366">
      <c r="A366" s="281"/>
      <c r="B366" s="282"/>
      <c r="C366" s="278"/>
      <c r="D366" s="284"/>
      <c r="E366" s="285"/>
      <c r="F366" s="271"/>
      <c r="G366" s="272"/>
      <c r="H366" s="273"/>
      <c r="I366" s="274"/>
      <c r="J366" s="6"/>
      <c r="K366" s="6"/>
      <c r="L366" s="6"/>
      <c r="M366" s="6"/>
      <c r="N366" s="6"/>
    </row>
    <row r="367">
      <c r="A367" s="281"/>
      <c r="B367" s="282"/>
      <c r="C367" s="278"/>
      <c r="D367" s="284"/>
      <c r="E367" s="285"/>
      <c r="F367" s="271"/>
      <c r="G367" s="272"/>
      <c r="H367" s="273"/>
      <c r="I367" s="274"/>
      <c r="J367" s="6"/>
      <c r="K367" s="6"/>
      <c r="L367" s="6"/>
      <c r="M367" s="6"/>
      <c r="N367" s="6"/>
    </row>
    <row r="368">
      <c r="A368" s="281"/>
      <c r="B368" s="282"/>
      <c r="C368" s="278"/>
      <c r="D368" s="284"/>
      <c r="E368" s="285"/>
      <c r="F368" s="271"/>
      <c r="G368" s="272"/>
      <c r="H368" s="273"/>
      <c r="I368" s="274"/>
      <c r="J368" s="6"/>
      <c r="K368" s="6"/>
      <c r="L368" s="6"/>
      <c r="M368" s="6"/>
      <c r="N368" s="6"/>
    </row>
    <row r="369">
      <c r="A369" s="281"/>
      <c r="B369" s="282"/>
      <c r="C369" s="278"/>
      <c r="D369" s="284"/>
      <c r="E369" s="285"/>
      <c r="F369" s="271"/>
      <c r="G369" s="272"/>
      <c r="H369" s="273"/>
      <c r="I369" s="274"/>
      <c r="J369" s="6"/>
      <c r="K369" s="6"/>
      <c r="L369" s="6"/>
      <c r="M369" s="6"/>
      <c r="N369" s="6"/>
    </row>
    <row r="370">
      <c r="A370" s="281"/>
      <c r="B370" s="282"/>
      <c r="C370" s="278"/>
      <c r="D370" s="284"/>
      <c r="E370" s="285"/>
      <c r="F370" s="271"/>
      <c r="G370" s="272"/>
      <c r="H370" s="273"/>
      <c r="I370" s="274"/>
      <c r="J370" s="6"/>
      <c r="K370" s="6"/>
      <c r="L370" s="6"/>
      <c r="M370" s="6"/>
      <c r="N370" s="6"/>
    </row>
    <row r="371">
      <c r="A371" s="281"/>
      <c r="B371" s="282"/>
      <c r="C371" s="278"/>
      <c r="D371" s="284"/>
      <c r="E371" s="285"/>
      <c r="F371" s="271"/>
      <c r="G371" s="272"/>
      <c r="H371" s="273"/>
      <c r="I371" s="274"/>
      <c r="J371" s="6"/>
      <c r="K371" s="6"/>
      <c r="L371" s="6"/>
      <c r="M371" s="6"/>
      <c r="N371" s="6"/>
    </row>
    <row r="372">
      <c r="A372" s="281"/>
      <c r="B372" s="282"/>
      <c r="C372" s="278"/>
      <c r="D372" s="284"/>
      <c r="E372" s="285"/>
      <c r="F372" s="271"/>
      <c r="G372" s="272"/>
      <c r="H372" s="273"/>
      <c r="I372" s="274"/>
      <c r="J372" s="6"/>
      <c r="K372" s="6"/>
      <c r="L372" s="6"/>
      <c r="M372" s="6"/>
      <c r="N372" s="6"/>
    </row>
    <row r="373">
      <c r="A373" s="281"/>
      <c r="B373" s="282"/>
      <c r="C373" s="278"/>
      <c r="D373" s="284"/>
      <c r="E373" s="285"/>
      <c r="F373" s="271"/>
      <c r="G373" s="272"/>
      <c r="H373" s="273"/>
      <c r="I373" s="274"/>
      <c r="J373" s="6"/>
      <c r="K373" s="6"/>
      <c r="L373" s="6"/>
      <c r="M373" s="6"/>
      <c r="N373" s="6"/>
    </row>
    <row r="374">
      <c r="A374" s="281"/>
      <c r="B374" s="282"/>
      <c r="C374" s="278"/>
      <c r="D374" s="284"/>
      <c r="E374" s="285"/>
      <c r="F374" s="271"/>
      <c r="G374" s="272"/>
      <c r="H374" s="273"/>
      <c r="I374" s="274"/>
      <c r="J374" s="6"/>
      <c r="K374" s="6"/>
      <c r="L374" s="6"/>
      <c r="M374" s="6"/>
      <c r="N374" s="6"/>
    </row>
    <row r="375">
      <c r="A375" s="281"/>
      <c r="B375" s="282"/>
      <c r="C375" s="278"/>
      <c r="D375" s="284"/>
      <c r="E375" s="285"/>
      <c r="F375" s="271"/>
      <c r="G375" s="272"/>
      <c r="H375" s="273"/>
      <c r="I375" s="274"/>
      <c r="J375" s="6"/>
      <c r="K375" s="6"/>
      <c r="L375" s="6"/>
      <c r="M375" s="6"/>
      <c r="N375" s="6"/>
    </row>
    <row r="376">
      <c r="A376" s="281"/>
      <c r="B376" s="282"/>
      <c r="C376" s="278"/>
      <c r="D376" s="284"/>
      <c r="E376" s="285"/>
      <c r="F376" s="271"/>
      <c r="G376" s="272"/>
      <c r="H376" s="273"/>
      <c r="I376" s="274"/>
      <c r="J376" s="6"/>
      <c r="K376" s="6"/>
      <c r="L376" s="6"/>
      <c r="M376" s="6"/>
      <c r="N376" s="6"/>
    </row>
    <row r="377">
      <c r="A377" s="281"/>
      <c r="B377" s="282"/>
      <c r="C377" s="278"/>
      <c r="D377" s="284"/>
      <c r="E377" s="285"/>
      <c r="F377" s="271"/>
      <c r="G377" s="272"/>
      <c r="H377" s="273"/>
      <c r="I377" s="274"/>
      <c r="J377" s="6"/>
      <c r="K377" s="6"/>
      <c r="L377" s="6"/>
      <c r="M377" s="6"/>
      <c r="N377" s="6"/>
    </row>
    <row r="378">
      <c r="A378" s="281"/>
      <c r="B378" s="282"/>
      <c r="C378" s="278"/>
      <c r="D378" s="284"/>
      <c r="E378" s="285"/>
      <c r="F378" s="271"/>
      <c r="G378" s="272"/>
      <c r="H378" s="273"/>
      <c r="I378" s="274"/>
      <c r="J378" s="6"/>
      <c r="K378" s="6"/>
      <c r="L378" s="6"/>
      <c r="M378" s="6"/>
      <c r="N378" s="6"/>
    </row>
    <row r="379">
      <c r="A379" s="281"/>
      <c r="B379" s="282"/>
      <c r="C379" s="278"/>
      <c r="D379" s="284"/>
      <c r="E379" s="285"/>
      <c r="F379" s="271"/>
      <c r="G379" s="272"/>
      <c r="H379" s="273"/>
      <c r="I379" s="274"/>
      <c r="J379" s="6"/>
      <c r="K379" s="6"/>
      <c r="L379" s="6"/>
      <c r="M379" s="6"/>
      <c r="N379" s="6"/>
    </row>
    <row r="380">
      <c r="A380" s="281"/>
      <c r="B380" s="282"/>
      <c r="C380" s="278"/>
      <c r="D380" s="284"/>
      <c r="E380" s="285"/>
      <c r="F380" s="271"/>
      <c r="G380" s="272"/>
      <c r="H380" s="273"/>
      <c r="I380" s="274"/>
      <c r="J380" s="6"/>
      <c r="K380" s="6"/>
      <c r="L380" s="6"/>
      <c r="M380" s="6"/>
      <c r="N380" s="6"/>
    </row>
    <row r="381">
      <c r="A381" s="281"/>
      <c r="B381" s="282"/>
      <c r="C381" s="278"/>
      <c r="D381" s="284"/>
      <c r="E381" s="285"/>
      <c r="F381" s="271"/>
      <c r="G381" s="272"/>
      <c r="H381" s="273"/>
      <c r="I381" s="274"/>
      <c r="J381" s="6"/>
      <c r="K381" s="6"/>
      <c r="L381" s="6"/>
      <c r="M381" s="6"/>
      <c r="N381" s="6"/>
    </row>
    <row r="382">
      <c r="A382" s="281"/>
      <c r="B382" s="282"/>
      <c r="C382" s="278"/>
      <c r="D382" s="284"/>
      <c r="E382" s="285"/>
      <c r="F382" s="271"/>
      <c r="G382" s="272"/>
      <c r="H382" s="273"/>
      <c r="I382" s="274"/>
      <c r="J382" s="6"/>
      <c r="K382" s="6"/>
      <c r="L382" s="6"/>
      <c r="M382" s="6"/>
      <c r="N382" s="6"/>
    </row>
    <row r="383">
      <c r="A383" s="281"/>
      <c r="B383" s="282"/>
      <c r="C383" s="278"/>
      <c r="D383" s="284"/>
      <c r="E383" s="285"/>
      <c r="F383" s="271"/>
      <c r="G383" s="272"/>
      <c r="H383" s="273"/>
      <c r="I383" s="274"/>
      <c r="J383" s="6"/>
      <c r="K383" s="6"/>
      <c r="L383" s="6"/>
      <c r="M383" s="6"/>
      <c r="N383" s="6"/>
    </row>
    <row r="384">
      <c r="A384" s="281"/>
      <c r="B384" s="282"/>
      <c r="C384" s="278"/>
      <c r="D384" s="284"/>
      <c r="E384" s="285"/>
      <c r="F384" s="271"/>
      <c r="G384" s="272"/>
      <c r="H384" s="273"/>
      <c r="I384" s="274"/>
      <c r="J384" s="6"/>
      <c r="K384" s="6"/>
      <c r="L384" s="6"/>
      <c r="M384" s="6"/>
      <c r="N384" s="6"/>
    </row>
    <row r="385">
      <c r="A385" s="281"/>
      <c r="B385" s="282"/>
      <c r="C385" s="278"/>
      <c r="D385" s="284"/>
      <c r="E385" s="285"/>
      <c r="F385" s="271"/>
      <c r="G385" s="272"/>
      <c r="H385" s="273"/>
      <c r="I385" s="274"/>
      <c r="J385" s="6"/>
      <c r="K385" s="6"/>
      <c r="L385" s="6"/>
      <c r="M385" s="6"/>
      <c r="N385" s="6"/>
    </row>
    <row r="386">
      <c r="A386" s="281"/>
      <c r="B386" s="282"/>
      <c r="C386" s="278"/>
      <c r="D386" s="284"/>
      <c r="E386" s="285"/>
      <c r="F386" s="271"/>
      <c r="G386" s="272"/>
      <c r="H386" s="273"/>
      <c r="I386" s="274"/>
      <c r="J386" s="6"/>
      <c r="K386" s="6"/>
      <c r="L386" s="6"/>
      <c r="M386" s="6"/>
      <c r="N386" s="6"/>
    </row>
    <row r="387">
      <c r="A387" s="281"/>
      <c r="B387" s="282"/>
      <c r="C387" s="278"/>
      <c r="D387" s="284"/>
      <c r="E387" s="285"/>
      <c r="F387" s="271"/>
      <c r="G387" s="272"/>
      <c r="H387" s="273"/>
      <c r="I387" s="274"/>
      <c r="J387" s="6"/>
      <c r="K387" s="6"/>
      <c r="L387" s="6"/>
      <c r="M387" s="6"/>
      <c r="N387" s="6"/>
    </row>
    <row r="388">
      <c r="A388" s="281"/>
      <c r="B388" s="282"/>
      <c r="C388" s="278"/>
      <c r="D388" s="284"/>
      <c r="E388" s="285"/>
      <c r="F388" s="271"/>
      <c r="G388" s="272"/>
      <c r="H388" s="273"/>
      <c r="I388" s="274"/>
      <c r="J388" s="6"/>
      <c r="K388" s="6"/>
      <c r="L388" s="6"/>
      <c r="M388" s="6"/>
      <c r="N388" s="6"/>
    </row>
    <row r="389">
      <c r="A389" s="281"/>
      <c r="B389" s="282"/>
      <c r="C389" s="278"/>
      <c r="D389" s="284"/>
      <c r="E389" s="285"/>
      <c r="F389" s="271"/>
      <c r="G389" s="272"/>
      <c r="H389" s="273"/>
      <c r="I389" s="274"/>
      <c r="J389" s="6"/>
      <c r="K389" s="6"/>
      <c r="L389" s="6"/>
      <c r="M389" s="6"/>
      <c r="N389" s="6"/>
    </row>
    <row r="390">
      <c r="A390" s="281"/>
      <c r="B390" s="282"/>
      <c r="C390" s="278"/>
      <c r="D390" s="284"/>
      <c r="E390" s="285"/>
      <c r="F390" s="271"/>
      <c r="G390" s="272"/>
      <c r="H390" s="273"/>
      <c r="I390" s="274"/>
      <c r="J390" s="6"/>
      <c r="K390" s="6"/>
      <c r="L390" s="6"/>
      <c r="M390" s="6"/>
      <c r="N390" s="6"/>
    </row>
    <row r="391">
      <c r="A391" s="281"/>
      <c r="B391" s="282"/>
      <c r="C391" s="278"/>
      <c r="D391" s="284"/>
      <c r="E391" s="285"/>
      <c r="F391" s="271"/>
      <c r="G391" s="272"/>
      <c r="H391" s="273"/>
      <c r="I391" s="274"/>
      <c r="J391" s="6"/>
      <c r="K391" s="6"/>
      <c r="L391" s="6"/>
      <c r="M391" s="6"/>
      <c r="N391" s="6"/>
    </row>
    <row r="392">
      <c r="A392" s="281"/>
      <c r="B392" s="282"/>
      <c r="C392" s="278"/>
      <c r="D392" s="284"/>
      <c r="E392" s="285"/>
      <c r="F392" s="271"/>
      <c r="G392" s="272"/>
      <c r="H392" s="273"/>
      <c r="I392" s="274"/>
      <c r="J392" s="6"/>
      <c r="K392" s="6"/>
      <c r="L392" s="6"/>
      <c r="M392" s="6"/>
      <c r="N392" s="6"/>
    </row>
    <row r="393">
      <c r="A393" s="281"/>
      <c r="B393" s="282"/>
      <c r="C393" s="278"/>
      <c r="D393" s="284"/>
      <c r="E393" s="285"/>
      <c r="F393" s="271"/>
      <c r="G393" s="272"/>
      <c r="H393" s="273"/>
      <c r="I393" s="274"/>
      <c r="J393" s="6"/>
      <c r="K393" s="6"/>
      <c r="L393" s="6"/>
      <c r="M393" s="6"/>
      <c r="N393" s="6"/>
    </row>
    <row r="394">
      <c r="A394" s="281"/>
      <c r="B394" s="282"/>
      <c r="C394" s="278"/>
      <c r="D394" s="284"/>
      <c r="E394" s="285"/>
      <c r="F394" s="271"/>
      <c r="G394" s="272"/>
      <c r="H394" s="273"/>
      <c r="I394" s="274"/>
      <c r="J394" s="6"/>
      <c r="K394" s="6"/>
      <c r="L394" s="6"/>
      <c r="M394" s="6"/>
      <c r="N394" s="6"/>
    </row>
    <row r="395">
      <c r="A395" s="281"/>
      <c r="B395" s="282"/>
      <c r="C395" s="278"/>
      <c r="D395" s="284"/>
      <c r="E395" s="285"/>
      <c r="F395" s="271"/>
      <c r="G395" s="272"/>
      <c r="H395" s="273"/>
      <c r="I395" s="274"/>
      <c r="J395" s="6"/>
      <c r="K395" s="6"/>
      <c r="L395" s="6"/>
      <c r="M395" s="6"/>
      <c r="N395" s="6"/>
    </row>
    <row r="396">
      <c r="A396" s="281"/>
      <c r="B396" s="282"/>
      <c r="C396" s="278"/>
      <c r="D396" s="284"/>
      <c r="E396" s="285"/>
      <c r="F396" s="271"/>
      <c r="G396" s="272"/>
      <c r="H396" s="273"/>
      <c r="I396" s="274"/>
      <c r="J396" s="6"/>
      <c r="K396" s="6"/>
      <c r="L396" s="6"/>
      <c r="M396" s="6"/>
      <c r="N396" s="6"/>
    </row>
    <row r="397">
      <c r="A397" s="281"/>
      <c r="B397" s="282"/>
      <c r="C397" s="278"/>
      <c r="D397" s="284"/>
      <c r="E397" s="285"/>
      <c r="F397" s="271"/>
      <c r="G397" s="272"/>
      <c r="H397" s="273"/>
      <c r="I397" s="274"/>
      <c r="J397" s="6"/>
      <c r="K397" s="6"/>
      <c r="L397" s="6"/>
      <c r="M397" s="6"/>
      <c r="N397" s="6"/>
    </row>
    <row r="398">
      <c r="A398" s="281"/>
      <c r="B398" s="282"/>
      <c r="C398" s="278"/>
      <c r="D398" s="284"/>
      <c r="E398" s="285"/>
      <c r="F398" s="271"/>
      <c r="G398" s="272"/>
      <c r="H398" s="273"/>
      <c r="I398" s="274"/>
      <c r="J398" s="6"/>
      <c r="K398" s="6"/>
      <c r="L398" s="6"/>
      <c r="M398" s="6"/>
      <c r="N398" s="6"/>
    </row>
    <row r="399">
      <c r="A399" s="281"/>
      <c r="B399" s="282"/>
      <c r="C399" s="278"/>
      <c r="D399" s="284"/>
      <c r="E399" s="285"/>
      <c r="F399" s="271"/>
      <c r="G399" s="272"/>
      <c r="H399" s="273"/>
      <c r="I399" s="274"/>
      <c r="J399" s="6"/>
      <c r="K399" s="6"/>
      <c r="L399" s="6"/>
      <c r="M399" s="6"/>
      <c r="N399" s="6"/>
    </row>
    <row r="400">
      <c r="A400" s="281"/>
      <c r="B400" s="282"/>
      <c r="C400" s="278"/>
      <c r="D400" s="284"/>
      <c r="E400" s="285"/>
      <c r="F400" s="271"/>
      <c r="G400" s="272"/>
      <c r="H400" s="273"/>
      <c r="I400" s="274"/>
      <c r="J400" s="6"/>
      <c r="K400" s="6"/>
      <c r="L400" s="6"/>
      <c r="M400" s="6"/>
      <c r="N400" s="6"/>
    </row>
    <row r="401">
      <c r="A401" s="281"/>
      <c r="B401" s="282"/>
      <c r="C401" s="278"/>
      <c r="D401" s="284"/>
      <c r="E401" s="285"/>
      <c r="F401" s="271"/>
      <c r="G401" s="272"/>
      <c r="H401" s="273"/>
      <c r="I401" s="274"/>
      <c r="J401" s="6"/>
      <c r="K401" s="6"/>
      <c r="L401" s="6"/>
      <c r="M401" s="6"/>
      <c r="N401" s="6"/>
    </row>
    <row r="402">
      <c r="A402" s="281"/>
      <c r="B402" s="282"/>
      <c r="C402" s="278"/>
      <c r="D402" s="284"/>
      <c r="E402" s="285"/>
      <c r="F402" s="271"/>
      <c r="G402" s="272"/>
      <c r="H402" s="273"/>
      <c r="I402" s="274"/>
      <c r="J402" s="6"/>
      <c r="K402" s="6"/>
      <c r="L402" s="6"/>
      <c r="M402" s="6"/>
      <c r="N402" s="6"/>
    </row>
    <row r="403">
      <c r="A403" s="281"/>
      <c r="B403" s="282"/>
      <c r="C403" s="278"/>
      <c r="D403" s="284"/>
      <c r="E403" s="285"/>
      <c r="F403" s="271"/>
      <c r="G403" s="272"/>
      <c r="H403" s="273"/>
      <c r="I403" s="274"/>
      <c r="J403" s="6"/>
      <c r="K403" s="6"/>
      <c r="L403" s="6"/>
      <c r="M403" s="6"/>
      <c r="N403" s="6"/>
    </row>
    <row r="404">
      <c r="A404" s="281"/>
      <c r="B404" s="282"/>
      <c r="C404" s="278"/>
      <c r="D404" s="284"/>
      <c r="E404" s="285"/>
      <c r="F404" s="271"/>
      <c r="G404" s="272"/>
      <c r="H404" s="273"/>
      <c r="I404" s="274"/>
      <c r="J404" s="6"/>
      <c r="K404" s="6"/>
      <c r="L404" s="6"/>
      <c r="M404" s="6"/>
      <c r="N404" s="6"/>
    </row>
    <row r="405">
      <c r="A405" s="281"/>
      <c r="B405" s="282"/>
      <c r="C405" s="278"/>
      <c r="D405" s="284"/>
      <c r="E405" s="285"/>
      <c r="F405" s="271"/>
      <c r="G405" s="272"/>
      <c r="H405" s="273"/>
      <c r="I405" s="274"/>
      <c r="J405" s="6"/>
      <c r="K405" s="6"/>
      <c r="L405" s="6"/>
      <c r="M405" s="6"/>
      <c r="N405" s="6"/>
    </row>
    <row r="406">
      <c r="A406" s="281"/>
      <c r="B406" s="282"/>
      <c r="C406" s="278"/>
      <c r="D406" s="284"/>
      <c r="E406" s="285"/>
      <c r="F406" s="271"/>
      <c r="G406" s="272"/>
      <c r="H406" s="273"/>
      <c r="I406" s="274"/>
      <c r="J406" s="6"/>
      <c r="K406" s="6"/>
      <c r="L406" s="6"/>
      <c r="M406" s="6"/>
      <c r="N406" s="6"/>
    </row>
    <row r="407">
      <c r="A407" s="281"/>
      <c r="B407" s="282"/>
      <c r="C407" s="278"/>
      <c r="D407" s="284"/>
      <c r="E407" s="285"/>
      <c r="F407" s="271"/>
      <c r="G407" s="272"/>
      <c r="H407" s="273"/>
      <c r="I407" s="274"/>
      <c r="J407" s="6"/>
      <c r="K407" s="6"/>
      <c r="L407" s="6"/>
      <c r="M407" s="6"/>
      <c r="N407" s="6"/>
    </row>
    <row r="408">
      <c r="A408" s="281"/>
      <c r="B408" s="282"/>
      <c r="C408" s="278"/>
      <c r="D408" s="284"/>
      <c r="E408" s="285"/>
      <c r="F408" s="271"/>
      <c r="G408" s="272"/>
      <c r="H408" s="273"/>
      <c r="I408" s="274"/>
      <c r="J408" s="6"/>
      <c r="K408" s="6"/>
      <c r="L408" s="6"/>
      <c r="M408" s="6"/>
      <c r="N408" s="6"/>
    </row>
    <row r="409">
      <c r="A409" s="281"/>
      <c r="B409" s="282"/>
      <c r="C409" s="278"/>
      <c r="D409" s="284"/>
      <c r="E409" s="285"/>
      <c r="F409" s="271"/>
      <c r="G409" s="272"/>
      <c r="H409" s="273"/>
      <c r="I409" s="274"/>
      <c r="J409" s="6"/>
      <c r="K409" s="6"/>
      <c r="L409" s="6"/>
      <c r="M409" s="6"/>
      <c r="N409" s="6"/>
    </row>
    <row r="410">
      <c r="A410" s="281"/>
      <c r="B410" s="282"/>
      <c r="C410" s="278"/>
      <c r="D410" s="284"/>
      <c r="E410" s="285"/>
      <c r="F410" s="271"/>
      <c r="G410" s="272"/>
      <c r="H410" s="273"/>
      <c r="I410" s="274"/>
      <c r="J410" s="6"/>
      <c r="K410" s="6"/>
      <c r="L410" s="6"/>
      <c r="M410" s="6"/>
      <c r="N410" s="6"/>
    </row>
    <row r="411">
      <c r="A411" s="281"/>
      <c r="B411" s="282"/>
      <c r="C411" s="278"/>
      <c r="D411" s="284"/>
      <c r="E411" s="285"/>
      <c r="F411" s="271"/>
      <c r="G411" s="272"/>
      <c r="H411" s="273"/>
      <c r="I411" s="274"/>
      <c r="J411" s="6"/>
      <c r="K411" s="6"/>
      <c r="L411" s="6"/>
      <c r="M411" s="6"/>
      <c r="N411" s="6"/>
    </row>
    <row r="412">
      <c r="A412" s="281"/>
      <c r="B412" s="282"/>
      <c r="C412" s="278"/>
      <c r="D412" s="284"/>
      <c r="E412" s="285"/>
      <c r="F412" s="271"/>
      <c r="G412" s="272"/>
      <c r="H412" s="273"/>
      <c r="I412" s="274"/>
      <c r="J412" s="6"/>
      <c r="K412" s="6"/>
      <c r="L412" s="6"/>
      <c r="M412" s="6"/>
      <c r="N412" s="6"/>
    </row>
    <row r="413">
      <c r="A413" s="281"/>
      <c r="B413" s="282"/>
      <c r="C413" s="278"/>
      <c r="D413" s="284"/>
      <c r="E413" s="285"/>
      <c r="F413" s="271"/>
      <c r="G413" s="272"/>
      <c r="H413" s="273"/>
      <c r="I413" s="274"/>
      <c r="J413" s="6"/>
      <c r="K413" s="6"/>
      <c r="L413" s="6"/>
      <c r="M413" s="6"/>
      <c r="N413" s="6"/>
    </row>
    <row r="414">
      <c r="A414" s="281"/>
      <c r="B414" s="282"/>
      <c r="C414" s="278"/>
      <c r="D414" s="284"/>
      <c r="E414" s="285"/>
      <c r="F414" s="271"/>
      <c r="G414" s="272"/>
      <c r="H414" s="273"/>
      <c r="I414" s="274"/>
      <c r="J414" s="6"/>
      <c r="K414" s="6"/>
      <c r="L414" s="6"/>
      <c r="M414" s="6"/>
      <c r="N414" s="6"/>
    </row>
    <row r="415">
      <c r="A415" s="281"/>
      <c r="B415" s="282"/>
      <c r="C415" s="278"/>
      <c r="D415" s="284"/>
      <c r="E415" s="285"/>
      <c r="F415" s="271"/>
      <c r="G415" s="272"/>
      <c r="H415" s="273"/>
      <c r="I415" s="274"/>
      <c r="J415" s="6"/>
      <c r="K415" s="6"/>
      <c r="L415" s="6"/>
      <c r="M415" s="6"/>
      <c r="N415" s="6"/>
    </row>
    <row r="416">
      <c r="A416" s="281"/>
      <c r="B416" s="282"/>
      <c r="C416" s="278"/>
      <c r="D416" s="284"/>
      <c r="E416" s="285"/>
      <c r="F416" s="271"/>
      <c r="G416" s="272"/>
      <c r="H416" s="273"/>
      <c r="I416" s="274"/>
      <c r="J416" s="6"/>
      <c r="K416" s="6"/>
      <c r="L416" s="6"/>
      <c r="M416" s="6"/>
      <c r="N416" s="6"/>
    </row>
    <row r="417">
      <c r="A417" s="281"/>
      <c r="B417" s="282"/>
      <c r="C417" s="278"/>
      <c r="D417" s="284"/>
      <c r="E417" s="285"/>
      <c r="F417" s="271"/>
      <c r="G417" s="272"/>
      <c r="H417" s="273"/>
      <c r="I417" s="274"/>
      <c r="J417" s="6"/>
      <c r="K417" s="6"/>
      <c r="L417" s="6"/>
      <c r="M417" s="6"/>
      <c r="N417" s="6"/>
    </row>
    <row r="418">
      <c r="A418" s="281"/>
      <c r="B418" s="282"/>
      <c r="C418" s="278"/>
      <c r="D418" s="284"/>
      <c r="E418" s="285"/>
      <c r="F418" s="271"/>
      <c r="G418" s="272"/>
      <c r="H418" s="273"/>
      <c r="I418" s="274"/>
      <c r="J418" s="6"/>
      <c r="K418" s="6"/>
      <c r="L418" s="6"/>
      <c r="M418" s="6"/>
      <c r="N418" s="6"/>
    </row>
    <row r="419">
      <c r="A419" s="281"/>
      <c r="B419" s="282"/>
      <c r="C419" s="278"/>
      <c r="D419" s="284"/>
      <c r="E419" s="285"/>
      <c r="F419" s="271"/>
      <c r="G419" s="272"/>
      <c r="H419" s="273"/>
      <c r="I419" s="274"/>
      <c r="J419" s="6"/>
      <c r="K419" s="6"/>
      <c r="L419" s="6"/>
      <c r="M419" s="6"/>
      <c r="N419" s="6"/>
    </row>
    <row r="420">
      <c r="A420" s="281"/>
      <c r="B420" s="282"/>
      <c r="C420" s="278"/>
      <c r="D420" s="284"/>
      <c r="E420" s="285"/>
      <c r="F420" s="271"/>
      <c r="G420" s="272"/>
      <c r="H420" s="273"/>
      <c r="I420" s="274"/>
      <c r="J420" s="6"/>
      <c r="K420" s="6"/>
      <c r="L420" s="6"/>
      <c r="M420" s="6"/>
      <c r="N420" s="6"/>
    </row>
    <row r="421">
      <c r="A421" s="281"/>
      <c r="B421" s="282"/>
      <c r="C421" s="278"/>
      <c r="D421" s="284"/>
      <c r="E421" s="285"/>
      <c r="F421" s="271"/>
      <c r="G421" s="272"/>
      <c r="H421" s="273"/>
      <c r="I421" s="274"/>
      <c r="J421" s="6"/>
      <c r="K421" s="6"/>
      <c r="L421" s="6"/>
      <c r="M421" s="6"/>
      <c r="N421" s="6"/>
    </row>
    <row r="422">
      <c r="A422" s="281"/>
      <c r="B422" s="282"/>
      <c r="C422" s="278"/>
      <c r="D422" s="284"/>
      <c r="E422" s="285"/>
      <c r="F422" s="271"/>
      <c r="G422" s="272"/>
      <c r="H422" s="273"/>
      <c r="I422" s="274"/>
      <c r="J422" s="6"/>
      <c r="K422" s="6"/>
      <c r="L422" s="6"/>
      <c r="M422" s="6"/>
      <c r="N422" s="6"/>
    </row>
    <row r="423">
      <c r="A423" s="281"/>
      <c r="B423" s="282"/>
      <c r="C423" s="278"/>
      <c r="D423" s="284"/>
      <c r="E423" s="285"/>
      <c r="F423" s="271"/>
      <c r="G423" s="272"/>
      <c r="H423" s="273"/>
      <c r="I423" s="274"/>
      <c r="J423" s="6"/>
      <c r="K423" s="6"/>
      <c r="L423" s="6"/>
      <c r="M423" s="6"/>
      <c r="N423" s="6"/>
    </row>
    <row r="424">
      <c r="A424" s="281"/>
      <c r="B424" s="282"/>
      <c r="C424" s="278"/>
      <c r="D424" s="284"/>
      <c r="E424" s="285"/>
      <c r="F424" s="271"/>
      <c r="G424" s="272"/>
      <c r="H424" s="273"/>
      <c r="I424" s="274"/>
      <c r="J424" s="6"/>
      <c r="K424" s="6"/>
      <c r="L424" s="6"/>
      <c r="M424" s="6"/>
      <c r="N424" s="6"/>
    </row>
    <row r="425">
      <c r="A425" s="281"/>
      <c r="B425" s="282"/>
      <c r="C425" s="278"/>
      <c r="D425" s="284"/>
      <c r="E425" s="285"/>
      <c r="F425" s="271"/>
      <c r="G425" s="272"/>
      <c r="H425" s="273"/>
      <c r="I425" s="274"/>
      <c r="J425" s="6"/>
      <c r="K425" s="6"/>
      <c r="L425" s="6"/>
      <c r="M425" s="6"/>
      <c r="N425" s="6"/>
    </row>
    <row r="426">
      <c r="A426" s="281"/>
      <c r="B426" s="282"/>
      <c r="C426" s="278"/>
      <c r="D426" s="284"/>
      <c r="E426" s="285"/>
      <c r="F426" s="271"/>
      <c r="G426" s="272"/>
      <c r="H426" s="273"/>
      <c r="I426" s="274"/>
      <c r="J426" s="6"/>
      <c r="K426" s="6"/>
      <c r="L426" s="6"/>
      <c r="M426" s="6"/>
      <c r="N426" s="6"/>
    </row>
    <row r="427">
      <c r="A427" s="281"/>
      <c r="B427" s="282"/>
      <c r="C427" s="278"/>
      <c r="D427" s="284"/>
      <c r="E427" s="285"/>
      <c r="F427" s="271"/>
      <c r="G427" s="272"/>
      <c r="H427" s="273"/>
      <c r="I427" s="274"/>
      <c r="J427" s="6"/>
      <c r="K427" s="6"/>
      <c r="L427" s="6"/>
      <c r="M427" s="6"/>
      <c r="N427" s="6"/>
    </row>
    <row r="428">
      <c r="A428" s="281"/>
      <c r="B428" s="282"/>
      <c r="C428" s="278"/>
      <c r="D428" s="284"/>
      <c r="E428" s="285"/>
      <c r="F428" s="271"/>
      <c r="G428" s="272"/>
      <c r="H428" s="273"/>
      <c r="I428" s="274"/>
      <c r="J428" s="6"/>
      <c r="K428" s="6"/>
      <c r="L428" s="6"/>
      <c r="M428" s="6"/>
      <c r="N428" s="6"/>
    </row>
    <row r="429">
      <c r="A429" s="281"/>
      <c r="B429" s="282"/>
      <c r="C429" s="278"/>
      <c r="D429" s="284"/>
      <c r="E429" s="285"/>
      <c r="F429" s="271"/>
      <c r="G429" s="272"/>
      <c r="H429" s="273"/>
      <c r="I429" s="274"/>
      <c r="J429" s="6"/>
      <c r="K429" s="6"/>
      <c r="L429" s="6"/>
      <c r="M429" s="6"/>
      <c r="N429" s="6"/>
    </row>
    <row r="430">
      <c r="A430" s="281"/>
      <c r="B430" s="282"/>
      <c r="C430" s="278"/>
      <c r="D430" s="284"/>
      <c r="E430" s="285"/>
      <c r="F430" s="271"/>
      <c r="G430" s="272"/>
      <c r="H430" s="273"/>
      <c r="I430" s="274"/>
      <c r="J430" s="6"/>
      <c r="K430" s="6"/>
      <c r="L430" s="6"/>
      <c r="M430" s="6"/>
      <c r="N430" s="6"/>
    </row>
    <row r="431">
      <c r="A431" s="281"/>
      <c r="B431" s="282"/>
      <c r="C431" s="278"/>
      <c r="D431" s="284"/>
      <c r="E431" s="285"/>
      <c r="F431" s="271"/>
      <c r="G431" s="272"/>
      <c r="H431" s="273"/>
      <c r="I431" s="274"/>
      <c r="J431" s="6"/>
      <c r="K431" s="6"/>
      <c r="L431" s="6"/>
      <c r="M431" s="6"/>
      <c r="N431" s="6"/>
    </row>
    <row r="432">
      <c r="A432" s="281"/>
      <c r="B432" s="282"/>
      <c r="C432" s="278"/>
      <c r="D432" s="284"/>
      <c r="E432" s="285"/>
      <c r="F432" s="271"/>
      <c r="G432" s="272"/>
      <c r="H432" s="273"/>
      <c r="I432" s="274"/>
      <c r="J432" s="6"/>
      <c r="K432" s="6"/>
      <c r="L432" s="6"/>
      <c r="M432" s="6"/>
      <c r="N432" s="6"/>
    </row>
    <row r="433">
      <c r="A433" s="281"/>
      <c r="B433" s="282"/>
      <c r="C433" s="278"/>
      <c r="D433" s="284"/>
      <c r="E433" s="285"/>
      <c r="F433" s="271"/>
      <c r="G433" s="272"/>
      <c r="H433" s="273"/>
      <c r="I433" s="274"/>
      <c r="J433" s="6"/>
      <c r="K433" s="6"/>
      <c r="L433" s="6"/>
      <c r="M433" s="6"/>
      <c r="N433" s="6"/>
    </row>
    <row r="434">
      <c r="A434" s="281"/>
      <c r="B434" s="282"/>
      <c r="C434" s="278"/>
      <c r="D434" s="284"/>
      <c r="E434" s="285"/>
      <c r="F434" s="271"/>
      <c r="G434" s="272"/>
      <c r="H434" s="273"/>
      <c r="I434" s="274"/>
      <c r="J434" s="6"/>
      <c r="K434" s="6"/>
      <c r="L434" s="6"/>
      <c r="M434" s="6"/>
      <c r="N434" s="6"/>
    </row>
    <row r="435">
      <c r="A435" s="281"/>
      <c r="B435" s="282"/>
      <c r="C435" s="278"/>
      <c r="D435" s="284"/>
      <c r="E435" s="285"/>
      <c r="F435" s="271"/>
      <c r="G435" s="272"/>
      <c r="H435" s="273"/>
      <c r="I435" s="274"/>
      <c r="J435" s="6"/>
      <c r="K435" s="6"/>
      <c r="L435" s="6"/>
      <c r="M435" s="6"/>
      <c r="N435" s="6"/>
    </row>
    <row r="436">
      <c r="A436" s="281"/>
      <c r="B436" s="282"/>
      <c r="C436" s="278"/>
      <c r="D436" s="284"/>
      <c r="E436" s="285"/>
      <c r="F436" s="271"/>
      <c r="G436" s="272"/>
      <c r="H436" s="273"/>
      <c r="I436" s="274"/>
      <c r="J436" s="6"/>
      <c r="K436" s="6"/>
      <c r="L436" s="6"/>
      <c r="M436" s="6"/>
      <c r="N436" s="6"/>
    </row>
    <row r="437">
      <c r="A437" s="281"/>
      <c r="B437" s="282"/>
      <c r="C437" s="278"/>
      <c r="D437" s="284"/>
      <c r="E437" s="285"/>
      <c r="F437" s="271"/>
      <c r="G437" s="272"/>
      <c r="H437" s="273"/>
      <c r="I437" s="274"/>
      <c r="J437" s="6"/>
      <c r="K437" s="6"/>
      <c r="L437" s="6"/>
      <c r="M437" s="6"/>
      <c r="N437" s="6"/>
    </row>
    <row r="438">
      <c r="A438" s="281"/>
      <c r="B438" s="282"/>
      <c r="C438" s="278"/>
      <c r="D438" s="284"/>
      <c r="E438" s="285"/>
      <c r="F438" s="271"/>
      <c r="G438" s="272"/>
      <c r="H438" s="273"/>
      <c r="I438" s="274"/>
      <c r="J438" s="6"/>
      <c r="K438" s="6"/>
      <c r="L438" s="6"/>
      <c r="M438" s="6"/>
      <c r="N438" s="6"/>
    </row>
    <row r="439">
      <c r="A439" s="281"/>
      <c r="B439" s="282"/>
      <c r="C439" s="278"/>
      <c r="D439" s="284"/>
      <c r="E439" s="285"/>
      <c r="F439" s="271"/>
      <c r="G439" s="272"/>
      <c r="H439" s="273"/>
      <c r="I439" s="274"/>
      <c r="J439" s="6"/>
      <c r="K439" s="6"/>
      <c r="L439" s="6"/>
      <c r="M439" s="6"/>
      <c r="N439" s="6"/>
    </row>
    <row r="440">
      <c r="A440" s="281"/>
      <c r="B440" s="282"/>
      <c r="C440" s="278"/>
      <c r="D440" s="284"/>
      <c r="E440" s="285"/>
      <c r="F440" s="271"/>
      <c r="G440" s="272"/>
      <c r="H440" s="273"/>
      <c r="I440" s="274"/>
      <c r="J440" s="6"/>
      <c r="K440" s="6"/>
      <c r="L440" s="6"/>
      <c r="M440" s="6"/>
      <c r="N440" s="6"/>
    </row>
    <row r="441">
      <c r="A441" s="281"/>
      <c r="B441" s="282"/>
      <c r="C441" s="278"/>
      <c r="D441" s="284"/>
      <c r="E441" s="285"/>
      <c r="F441" s="271"/>
      <c r="G441" s="272"/>
      <c r="H441" s="273"/>
      <c r="I441" s="274"/>
      <c r="J441" s="6"/>
      <c r="K441" s="6"/>
      <c r="L441" s="6"/>
      <c r="M441" s="6"/>
      <c r="N441" s="6"/>
    </row>
    <row r="442">
      <c r="A442" s="281"/>
      <c r="B442" s="282"/>
      <c r="C442" s="278"/>
      <c r="D442" s="284"/>
      <c r="E442" s="285"/>
      <c r="F442" s="271"/>
      <c r="G442" s="272"/>
      <c r="H442" s="273"/>
      <c r="I442" s="274"/>
      <c r="J442" s="6"/>
      <c r="K442" s="6"/>
      <c r="L442" s="6"/>
      <c r="M442" s="6"/>
      <c r="N442" s="6"/>
    </row>
    <row r="443">
      <c r="A443" s="281"/>
      <c r="B443" s="282"/>
      <c r="C443" s="278"/>
      <c r="D443" s="284"/>
      <c r="E443" s="285"/>
      <c r="F443" s="271"/>
      <c r="G443" s="272"/>
      <c r="H443" s="273"/>
      <c r="I443" s="274"/>
      <c r="J443" s="6"/>
      <c r="K443" s="6"/>
      <c r="L443" s="6"/>
      <c r="M443" s="6"/>
      <c r="N443" s="6"/>
    </row>
    <row r="444">
      <c r="A444" s="281"/>
      <c r="B444" s="282"/>
      <c r="C444" s="278"/>
      <c r="D444" s="284"/>
      <c r="E444" s="285"/>
      <c r="F444" s="271"/>
      <c r="G444" s="272"/>
      <c r="H444" s="273"/>
      <c r="I444" s="274"/>
      <c r="J444" s="6"/>
      <c r="K444" s="6"/>
      <c r="L444" s="6"/>
      <c r="M444" s="6"/>
      <c r="N444" s="6"/>
    </row>
    <row r="445">
      <c r="A445" s="281"/>
      <c r="B445" s="282"/>
      <c r="C445" s="278"/>
      <c r="D445" s="284"/>
      <c r="E445" s="285"/>
      <c r="F445" s="271"/>
      <c r="G445" s="272"/>
      <c r="H445" s="273"/>
      <c r="I445" s="274"/>
      <c r="J445" s="6"/>
      <c r="K445" s="6"/>
      <c r="L445" s="6"/>
      <c r="M445" s="6"/>
      <c r="N445" s="6"/>
    </row>
    <row r="446">
      <c r="A446" s="281"/>
      <c r="B446" s="282"/>
      <c r="C446" s="278"/>
      <c r="D446" s="284"/>
      <c r="E446" s="285"/>
      <c r="F446" s="271"/>
      <c r="G446" s="272"/>
      <c r="H446" s="273"/>
      <c r="I446" s="274"/>
      <c r="J446" s="6"/>
      <c r="K446" s="6"/>
      <c r="L446" s="6"/>
      <c r="M446" s="6"/>
      <c r="N446" s="6"/>
    </row>
    <row r="447">
      <c r="A447" s="281"/>
      <c r="B447" s="282"/>
      <c r="C447" s="278"/>
      <c r="D447" s="284"/>
      <c r="E447" s="285"/>
      <c r="F447" s="271"/>
      <c r="G447" s="272"/>
      <c r="H447" s="273"/>
      <c r="I447" s="274"/>
      <c r="J447" s="6"/>
      <c r="K447" s="6"/>
      <c r="L447" s="6"/>
      <c r="M447" s="6"/>
      <c r="N447" s="6"/>
    </row>
    <row r="448">
      <c r="A448" s="281"/>
      <c r="B448" s="282"/>
      <c r="C448" s="278"/>
      <c r="D448" s="284"/>
      <c r="E448" s="285"/>
      <c r="F448" s="271"/>
      <c r="G448" s="272"/>
      <c r="H448" s="273"/>
      <c r="I448" s="274"/>
      <c r="J448" s="6"/>
      <c r="K448" s="6"/>
      <c r="L448" s="6"/>
      <c r="M448" s="6"/>
      <c r="N448" s="6"/>
    </row>
    <row r="449">
      <c r="A449" s="281"/>
      <c r="B449" s="282"/>
      <c r="C449" s="278"/>
      <c r="D449" s="284"/>
      <c r="E449" s="285"/>
      <c r="F449" s="271"/>
      <c r="G449" s="272"/>
      <c r="H449" s="273"/>
      <c r="I449" s="274"/>
      <c r="J449" s="6"/>
      <c r="K449" s="6"/>
      <c r="L449" s="6"/>
      <c r="M449" s="6"/>
      <c r="N449" s="6"/>
    </row>
    <row r="450">
      <c r="A450" s="281"/>
      <c r="B450" s="282"/>
      <c r="C450" s="278"/>
      <c r="D450" s="284"/>
      <c r="E450" s="285"/>
      <c r="F450" s="271"/>
      <c r="G450" s="272"/>
      <c r="H450" s="273"/>
      <c r="I450" s="274"/>
      <c r="J450" s="6"/>
      <c r="K450" s="6"/>
      <c r="L450" s="6"/>
      <c r="M450" s="6"/>
      <c r="N450" s="6"/>
    </row>
    <row r="451">
      <c r="A451" s="281"/>
      <c r="B451" s="282"/>
      <c r="C451" s="278"/>
      <c r="D451" s="284"/>
      <c r="E451" s="285"/>
      <c r="F451" s="271"/>
      <c r="G451" s="272"/>
      <c r="H451" s="273"/>
      <c r="I451" s="274"/>
      <c r="J451" s="6"/>
      <c r="K451" s="6"/>
      <c r="L451" s="6"/>
      <c r="M451" s="6"/>
      <c r="N451" s="6"/>
    </row>
    <row r="452">
      <c r="A452" s="281"/>
      <c r="B452" s="282"/>
      <c r="C452" s="278"/>
      <c r="D452" s="284"/>
      <c r="E452" s="285"/>
      <c r="F452" s="271"/>
      <c r="G452" s="272"/>
      <c r="H452" s="273"/>
      <c r="I452" s="274"/>
      <c r="J452" s="6"/>
      <c r="K452" s="6"/>
      <c r="L452" s="6"/>
      <c r="M452" s="6"/>
      <c r="N452" s="6"/>
    </row>
    <row r="453">
      <c r="A453" s="281"/>
      <c r="B453" s="282"/>
      <c r="C453" s="278"/>
      <c r="D453" s="284"/>
      <c r="E453" s="285"/>
      <c r="F453" s="271"/>
      <c r="G453" s="272"/>
      <c r="H453" s="273"/>
      <c r="I453" s="274"/>
      <c r="J453" s="6"/>
      <c r="K453" s="6"/>
      <c r="L453" s="6"/>
      <c r="M453" s="6"/>
      <c r="N453" s="6"/>
    </row>
    <row r="454">
      <c r="A454" s="281"/>
      <c r="B454" s="282"/>
      <c r="C454" s="278"/>
      <c r="D454" s="284"/>
      <c r="E454" s="285"/>
      <c r="F454" s="271"/>
      <c r="G454" s="272"/>
      <c r="H454" s="273"/>
      <c r="I454" s="274"/>
      <c r="J454" s="6"/>
      <c r="K454" s="6"/>
      <c r="L454" s="6"/>
      <c r="M454" s="6"/>
      <c r="N454" s="6"/>
    </row>
    <row r="455">
      <c r="A455" s="281"/>
      <c r="B455" s="282"/>
      <c r="C455" s="278"/>
      <c r="D455" s="284"/>
      <c r="E455" s="285"/>
      <c r="F455" s="271"/>
      <c r="G455" s="272"/>
      <c r="H455" s="273"/>
      <c r="I455" s="274"/>
      <c r="J455" s="6"/>
      <c r="K455" s="6"/>
      <c r="L455" s="6"/>
      <c r="M455" s="6"/>
      <c r="N455" s="6"/>
    </row>
    <row r="456">
      <c r="A456" s="281"/>
      <c r="B456" s="282"/>
      <c r="C456" s="278"/>
      <c r="D456" s="284"/>
      <c r="E456" s="285"/>
      <c r="F456" s="271"/>
      <c r="G456" s="272"/>
      <c r="H456" s="273"/>
      <c r="I456" s="274"/>
      <c r="J456" s="6"/>
      <c r="K456" s="6"/>
      <c r="L456" s="6"/>
      <c r="M456" s="6"/>
      <c r="N456" s="6"/>
    </row>
    <row r="457">
      <c r="A457" s="281"/>
      <c r="B457" s="282"/>
      <c r="C457" s="278"/>
      <c r="D457" s="284"/>
      <c r="E457" s="285"/>
      <c r="F457" s="271"/>
      <c r="G457" s="272"/>
      <c r="H457" s="273"/>
      <c r="I457" s="274"/>
      <c r="J457" s="6"/>
      <c r="K457" s="6"/>
      <c r="L457" s="6"/>
      <c r="M457" s="6"/>
      <c r="N457" s="6"/>
    </row>
    <row r="458">
      <c r="A458" s="281"/>
      <c r="B458" s="282"/>
      <c r="C458" s="278"/>
      <c r="D458" s="284"/>
      <c r="E458" s="285"/>
      <c r="F458" s="271"/>
      <c r="G458" s="272"/>
      <c r="H458" s="273"/>
      <c r="I458" s="274"/>
      <c r="J458" s="6"/>
      <c r="K458" s="6"/>
      <c r="L458" s="6"/>
      <c r="M458" s="6"/>
      <c r="N458" s="6"/>
    </row>
    <row r="459">
      <c r="A459" s="281"/>
      <c r="B459" s="282"/>
      <c r="C459" s="278"/>
      <c r="D459" s="284"/>
      <c r="E459" s="285"/>
      <c r="F459" s="271"/>
      <c r="G459" s="272"/>
      <c r="H459" s="273"/>
      <c r="I459" s="274"/>
      <c r="J459" s="6"/>
      <c r="K459" s="6"/>
      <c r="L459" s="6"/>
      <c r="M459" s="6"/>
      <c r="N459" s="6"/>
    </row>
    <row r="460">
      <c r="A460" s="281"/>
      <c r="B460" s="282"/>
      <c r="C460" s="278"/>
      <c r="D460" s="284"/>
      <c r="E460" s="285"/>
      <c r="F460" s="271"/>
      <c r="G460" s="272"/>
      <c r="H460" s="273"/>
      <c r="I460" s="274"/>
      <c r="J460" s="6"/>
      <c r="K460" s="6"/>
      <c r="L460" s="6"/>
      <c r="M460" s="6"/>
      <c r="N460" s="6"/>
    </row>
    <row r="461">
      <c r="A461" s="281"/>
      <c r="B461" s="282"/>
      <c r="C461" s="278"/>
      <c r="D461" s="284"/>
      <c r="E461" s="285"/>
      <c r="F461" s="271"/>
      <c r="G461" s="272"/>
      <c r="H461" s="273"/>
      <c r="I461" s="274"/>
      <c r="J461" s="6"/>
      <c r="K461" s="6"/>
      <c r="L461" s="6"/>
      <c r="M461" s="6"/>
      <c r="N461" s="6"/>
    </row>
    <row r="462">
      <c r="A462" s="281"/>
      <c r="B462" s="282"/>
      <c r="C462" s="278"/>
      <c r="D462" s="284"/>
      <c r="E462" s="285"/>
      <c r="F462" s="271"/>
      <c r="G462" s="272"/>
      <c r="H462" s="273"/>
      <c r="I462" s="274"/>
      <c r="J462" s="6"/>
      <c r="K462" s="6"/>
      <c r="L462" s="6"/>
      <c r="M462" s="6"/>
      <c r="N462" s="6"/>
    </row>
    <row r="463">
      <c r="A463" s="281"/>
      <c r="B463" s="282"/>
      <c r="C463" s="278"/>
      <c r="D463" s="284"/>
      <c r="E463" s="285"/>
      <c r="F463" s="271"/>
      <c r="G463" s="272"/>
      <c r="H463" s="273"/>
      <c r="I463" s="274"/>
      <c r="J463" s="6"/>
      <c r="K463" s="6"/>
      <c r="L463" s="6"/>
      <c r="M463" s="6"/>
      <c r="N463" s="6"/>
    </row>
    <row r="464">
      <c r="A464" s="281"/>
      <c r="B464" s="282"/>
      <c r="C464" s="278"/>
      <c r="D464" s="284"/>
      <c r="E464" s="285"/>
      <c r="F464" s="271"/>
      <c r="G464" s="272"/>
      <c r="H464" s="273"/>
      <c r="I464" s="274"/>
      <c r="J464" s="6"/>
      <c r="K464" s="6"/>
      <c r="L464" s="6"/>
      <c r="M464" s="6"/>
      <c r="N464" s="6"/>
    </row>
    <row r="465">
      <c r="A465" s="281"/>
      <c r="B465" s="282"/>
      <c r="C465" s="278"/>
      <c r="D465" s="284"/>
      <c r="E465" s="285"/>
      <c r="F465" s="271"/>
      <c r="G465" s="272"/>
      <c r="H465" s="273"/>
      <c r="I465" s="274"/>
      <c r="J465" s="6"/>
      <c r="K465" s="6"/>
      <c r="L465" s="6"/>
      <c r="M465" s="6"/>
      <c r="N465" s="6"/>
    </row>
    <row r="466">
      <c r="A466" s="281"/>
      <c r="B466" s="282"/>
      <c r="C466" s="278"/>
      <c r="D466" s="284"/>
      <c r="E466" s="285"/>
      <c r="F466" s="271"/>
      <c r="G466" s="272"/>
      <c r="H466" s="273"/>
      <c r="I466" s="274"/>
      <c r="J466" s="6"/>
      <c r="K466" s="6"/>
      <c r="L466" s="6"/>
      <c r="M466" s="6"/>
      <c r="N466" s="6"/>
    </row>
    <row r="467">
      <c r="A467" s="281"/>
      <c r="B467" s="282"/>
      <c r="C467" s="278"/>
      <c r="D467" s="284"/>
      <c r="E467" s="285"/>
      <c r="F467" s="271"/>
      <c r="G467" s="272"/>
      <c r="H467" s="273"/>
      <c r="I467" s="274"/>
      <c r="J467" s="6"/>
      <c r="K467" s="6"/>
      <c r="L467" s="6"/>
      <c r="M467" s="6"/>
      <c r="N467" s="6"/>
    </row>
    <row r="468">
      <c r="A468" s="281"/>
      <c r="B468" s="282"/>
      <c r="C468" s="278"/>
      <c r="D468" s="284"/>
      <c r="E468" s="285"/>
      <c r="F468" s="271"/>
      <c r="G468" s="272"/>
      <c r="H468" s="273"/>
      <c r="I468" s="274"/>
      <c r="J468" s="6"/>
      <c r="K468" s="6"/>
      <c r="L468" s="6"/>
      <c r="M468" s="6"/>
      <c r="N468" s="6"/>
    </row>
    <row r="469">
      <c r="A469" s="281"/>
      <c r="B469" s="282"/>
      <c r="C469" s="278"/>
      <c r="D469" s="284"/>
      <c r="E469" s="285"/>
      <c r="F469" s="271"/>
      <c r="G469" s="272"/>
      <c r="H469" s="273"/>
      <c r="I469" s="274"/>
      <c r="J469" s="6"/>
      <c r="K469" s="6"/>
      <c r="L469" s="6"/>
      <c r="M469" s="6"/>
      <c r="N469" s="6"/>
    </row>
    <row r="470">
      <c r="A470" s="281"/>
      <c r="B470" s="282"/>
      <c r="C470" s="278"/>
      <c r="D470" s="284"/>
      <c r="E470" s="285"/>
      <c r="F470" s="271"/>
      <c r="G470" s="272"/>
      <c r="H470" s="273"/>
      <c r="I470" s="274"/>
      <c r="J470" s="6"/>
      <c r="K470" s="6"/>
      <c r="L470" s="6"/>
      <c r="M470" s="6"/>
      <c r="N470" s="6"/>
    </row>
    <row r="471">
      <c r="A471" s="281"/>
      <c r="B471" s="282"/>
      <c r="C471" s="278"/>
      <c r="D471" s="284"/>
      <c r="E471" s="285"/>
      <c r="F471" s="271"/>
      <c r="G471" s="272"/>
      <c r="H471" s="273"/>
      <c r="I471" s="274"/>
      <c r="J471" s="6"/>
      <c r="K471" s="6"/>
      <c r="L471" s="6"/>
      <c r="M471" s="6"/>
      <c r="N471" s="6"/>
    </row>
    <row r="472">
      <c r="A472" s="281"/>
      <c r="B472" s="282"/>
      <c r="C472" s="278"/>
      <c r="D472" s="284"/>
      <c r="E472" s="285"/>
      <c r="F472" s="271"/>
      <c r="G472" s="272"/>
      <c r="H472" s="273"/>
      <c r="I472" s="274"/>
      <c r="J472" s="6"/>
      <c r="K472" s="6"/>
      <c r="L472" s="6"/>
      <c r="M472" s="6"/>
      <c r="N472" s="6"/>
    </row>
    <row r="473">
      <c r="A473" s="281"/>
      <c r="B473" s="282"/>
      <c r="C473" s="278"/>
      <c r="D473" s="284"/>
      <c r="E473" s="285"/>
      <c r="F473" s="271"/>
      <c r="G473" s="272"/>
      <c r="H473" s="273"/>
      <c r="I473" s="274"/>
      <c r="J473" s="6"/>
      <c r="K473" s="6"/>
      <c r="L473" s="6"/>
      <c r="M473" s="6"/>
      <c r="N473" s="6"/>
    </row>
    <row r="474">
      <c r="A474" s="281"/>
      <c r="B474" s="282"/>
      <c r="C474" s="278"/>
      <c r="D474" s="284"/>
      <c r="E474" s="285"/>
      <c r="F474" s="271"/>
      <c r="G474" s="272"/>
      <c r="H474" s="273"/>
      <c r="I474" s="274"/>
      <c r="J474" s="6"/>
      <c r="K474" s="6"/>
      <c r="L474" s="6"/>
      <c r="M474" s="6"/>
      <c r="N474" s="6"/>
    </row>
    <row r="475">
      <c r="A475" s="281"/>
      <c r="B475" s="282"/>
      <c r="C475" s="278"/>
      <c r="D475" s="284"/>
      <c r="E475" s="285"/>
      <c r="F475" s="271"/>
      <c r="G475" s="272"/>
      <c r="H475" s="273"/>
      <c r="I475" s="274"/>
      <c r="J475" s="6"/>
      <c r="K475" s="6"/>
      <c r="L475" s="6"/>
      <c r="M475" s="6"/>
      <c r="N475" s="6"/>
    </row>
    <row r="476">
      <c r="A476" s="281"/>
      <c r="B476" s="282"/>
      <c r="C476" s="278"/>
      <c r="D476" s="284"/>
      <c r="E476" s="285"/>
      <c r="F476" s="271"/>
      <c r="G476" s="272"/>
      <c r="H476" s="273"/>
      <c r="I476" s="274"/>
      <c r="J476" s="6"/>
      <c r="K476" s="6"/>
      <c r="L476" s="6"/>
      <c r="M476" s="6"/>
      <c r="N476" s="6"/>
    </row>
    <row r="477">
      <c r="A477" s="281"/>
      <c r="B477" s="282"/>
      <c r="C477" s="278"/>
      <c r="D477" s="284"/>
      <c r="E477" s="285"/>
      <c r="F477" s="271"/>
      <c r="G477" s="272"/>
      <c r="H477" s="273"/>
      <c r="I477" s="274"/>
      <c r="J477" s="6"/>
      <c r="K477" s="6"/>
      <c r="L477" s="6"/>
      <c r="M477" s="6"/>
      <c r="N477" s="6"/>
    </row>
    <row r="478">
      <c r="A478" s="281"/>
      <c r="B478" s="282"/>
      <c r="C478" s="278"/>
      <c r="D478" s="284"/>
      <c r="E478" s="285"/>
      <c r="F478" s="271"/>
      <c r="G478" s="272"/>
      <c r="H478" s="273"/>
      <c r="I478" s="274"/>
      <c r="J478" s="6"/>
      <c r="K478" s="6"/>
      <c r="L478" s="6"/>
      <c r="M478" s="6"/>
      <c r="N478" s="6"/>
    </row>
    <row r="479">
      <c r="A479" s="281"/>
      <c r="B479" s="282"/>
      <c r="C479" s="278"/>
      <c r="D479" s="284"/>
      <c r="E479" s="285"/>
      <c r="F479" s="271"/>
      <c r="G479" s="272"/>
      <c r="H479" s="273"/>
      <c r="I479" s="274"/>
      <c r="J479" s="6"/>
      <c r="K479" s="6"/>
      <c r="L479" s="6"/>
      <c r="M479" s="6"/>
      <c r="N479" s="6"/>
    </row>
    <row r="480">
      <c r="A480" s="281"/>
      <c r="B480" s="282"/>
      <c r="C480" s="278"/>
      <c r="D480" s="284"/>
      <c r="E480" s="285"/>
      <c r="F480" s="271"/>
      <c r="G480" s="272"/>
      <c r="H480" s="273"/>
      <c r="I480" s="274"/>
      <c r="J480" s="6"/>
      <c r="K480" s="6"/>
      <c r="L480" s="6"/>
      <c r="M480" s="6"/>
      <c r="N480" s="6"/>
    </row>
    <row r="481">
      <c r="A481" s="281"/>
      <c r="B481" s="282"/>
      <c r="C481" s="278"/>
      <c r="D481" s="284"/>
      <c r="E481" s="285"/>
      <c r="F481" s="271"/>
      <c r="G481" s="272"/>
      <c r="H481" s="273"/>
      <c r="I481" s="274"/>
      <c r="J481" s="6"/>
      <c r="K481" s="6"/>
      <c r="L481" s="6"/>
      <c r="M481" s="6"/>
      <c r="N481" s="6"/>
    </row>
    <row r="482">
      <c r="A482" s="281"/>
      <c r="B482" s="282"/>
      <c r="C482" s="278"/>
      <c r="D482" s="284"/>
      <c r="E482" s="285"/>
      <c r="F482" s="271"/>
      <c r="G482" s="272"/>
      <c r="H482" s="273"/>
      <c r="I482" s="274"/>
      <c r="J482" s="6"/>
      <c r="K482" s="6"/>
      <c r="L482" s="6"/>
      <c r="M482" s="6"/>
      <c r="N482" s="6"/>
    </row>
    <row r="483">
      <c r="A483" s="281"/>
      <c r="B483" s="282"/>
      <c r="C483" s="278"/>
      <c r="D483" s="284"/>
      <c r="E483" s="285"/>
      <c r="F483" s="271"/>
      <c r="G483" s="272"/>
      <c r="H483" s="273"/>
      <c r="I483" s="274"/>
      <c r="J483" s="6"/>
      <c r="K483" s="6"/>
      <c r="L483" s="6"/>
      <c r="M483" s="6"/>
      <c r="N483" s="6"/>
    </row>
    <row r="484">
      <c r="A484" s="281"/>
      <c r="B484" s="282"/>
      <c r="C484" s="278"/>
      <c r="D484" s="284"/>
      <c r="E484" s="285"/>
      <c r="F484" s="271"/>
      <c r="G484" s="272"/>
      <c r="H484" s="273"/>
      <c r="I484" s="274"/>
      <c r="J484" s="6"/>
      <c r="K484" s="6"/>
      <c r="L484" s="6"/>
      <c r="M484" s="6"/>
      <c r="N484" s="6"/>
    </row>
    <row r="485">
      <c r="A485" s="281"/>
      <c r="B485" s="282"/>
      <c r="C485" s="278"/>
      <c r="D485" s="284"/>
      <c r="E485" s="285"/>
      <c r="F485" s="271"/>
      <c r="G485" s="272"/>
      <c r="H485" s="273"/>
      <c r="I485" s="274"/>
      <c r="J485" s="6"/>
      <c r="K485" s="6"/>
      <c r="L485" s="6"/>
      <c r="M485" s="6"/>
      <c r="N485" s="6"/>
    </row>
    <row r="486">
      <c r="A486" s="281"/>
      <c r="B486" s="282"/>
      <c r="C486" s="278"/>
      <c r="D486" s="284"/>
      <c r="E486" s="285"/>
      <c r="F486" s="271"/>
      <c r="G486" s="272"/>
      <c r="H486" s="273"/>
      <c r="I486" s="274"/>
      <c r="J486" s="6"/>
      <c r="K486" s="6"/>
      <c r="L486" s="6"/>
      <c r="M486" s="6"/>
      <c r="N486" s="6"/>
    </row>
    <row r="487">
      <c r="A487" s="281"/>
      <c r="B487" s="282"/>
      <c r="C487" s="278"/>
      <c r="D487" s="284"/>
      <c r="E487" s="285"/>
      <c r="F487" s="271"/>
      <c r="G487" s="272"/>
      <c r="H487" s="273"/>
      <c r="I487" s="274"/>
      <c r="J487" s="6"/>
      <c r="K487" s="6"/>
      <c r="L487" s="6"/>
      <c r="M487" s="6"/>
      <c r="N487" s="6"/>
    </row>
    <row r="488">
      <c r="A488" s="281"/>
      <c r="B488" s="282"/>
      <c r="C488" s="278"/>
      <c r="D488" s="284"/>
      <c r="E488" s="285"/>
      <c r="F488" s="271"/>
      <c r="G488" s="272"/>
      <c r="H488" s="273"/>
      <c r="I488" s="274"/>
      <c r="J488" s="6"/>
      <c r="K488" s="6"/>
      <c r="L488" s="6"/>
      <c r="M488" s="6"/>
      <c r="N488" s="6"/>
    </row>
    <row r="489">
      <c r="A489" s="281"/>
      <c r="B489" s="282"/>
      <c r="C489" s="278"/>
      <c r="D489" s="284"/>
      <c r="E489" s="285"/>
      <c r="F489" s="271"/>
      <c r="G489" s="272"/>
      <c r="H489" s="273"/>
      <c r="I489" s="274"/>
      <c r="J489" s="6"/>
      <c r="K489" s="6"/>
      <c r="L489" s="6"/>
      <c r="M489" s="6"/>
      <c r="N489" s="6"/>
    </row>
    <row r="490">
      <c r="A490" s="281"/>
      <c r="B490" s="282"/>
      <c r="C490" s="278"/>
      <c r="D490" s="284"/>
      <c r="E490" s="285"/>
      <c r="F490" s="271"/>
      <c r="G490" s="272"/>
      <c r="H490" s="273"/>
      <c r="I490" s="274"/>
      <c r="J490" s="6"/>
      <c r="K490" s="6"/>
      <c r="L490" s="6"/>
      <c r="M490" s="6"/>
      <c r="N490" s="6"/>
    </row>
    <row r="491">
      <c r="A491" s="281"/>
      <c r="B491" s="282"/>
      <c r="C491" s="278"/>
      <c r="D491" s="284"/>
      <c r="E491" s="285"/>
      <c r="F491" s="271"/>
      <c r="G491" s="272"/>
      <c r="H491" s="273"/>
      <c r="I491" s="274"/>
      <c r="J491" s="6"/>
      <c r="K491" s="6"/>
      <c r="L491" s="6"/>
      <c r="M491" s="6"/>
      <c r="N491" s="6"/>
    </row>
    <row r="492">
      <c r="A492" s="281"/>
      <c r="B492" s="282"/>
      <c r="C492" s="278"/>
      <c r="D492" s="284"/>
      <c r="E492" s="285"/>
      <c r="F492" s="271"/>
      <c r="G492" s="272"/>
      <c r="H492" s="273"/>
      <c r="I492" s="274"/>
      <c r="J492" s="6"/>
      <c r="K492" s="6"/>
      <c r="L492" s="6"/>
      <c r="M492" s="6"/>
      <c r="N492" s="6"/>
    </row>
    <row r="493">
      <c r="A493" s="281"/>
      <c r="B493" s="282"/>
      <c r="C493" s="278"/>
      <c r="D493" s="284"/>
      <c r="E493" s="285"/>
      <c r="F493" s="271"/>
      <c r="G493" s="272"/>
      <c r="H493" s="273"/>
      <c r="I493" s="274"/>
      <c r="J493" s="6"/>
      <c r="K493" s="6"/>
      <c r="L493" s="6"/>
      <c r="M493" s="6"/>
      <c r="N493" s="6"/>
    </row>
    <row r="494">
      <c r="A494" s="281"/>
      <c r="B494" s="282"/>
      <c r="C494" s="278"/>
      <c r="D494" s="284"/>
      <c r="E494" s="285"/>
      <c r="F494" s="271"/>
      <c r="G494" s="272"/>
      <c r="H494" s="273"/>
      <c r="I494" s="274"/>
      <c r="J494" s="6"/>
      <c r="K494" s="6"/>
      <c r="L494" s="6"/>
      <c r="M494" s="6"/>
      <c r="N494" s="6"/>
    </row>
    <row r="495">
      <c r="A495" s="281"/>
      <c r="B495" s="282"/>
      <c r="C495" s="278"/>
      <c r="D495" s="284"/>
      <c r="E495" s="285"/>
      <c r="F495" s="271"/>
      <c r="G495" s="272"/>
      <c r="H495" s="273"/>
      <c r="I495" s="274"/>
      <c r="J495" s="6"/>
      <c r="K495" s="6"/>
      <c r="L495" s="6"/>
      <c r="M495" s="6"/>
      <c r="N495" s="6"/>
    </row>
    <row r="496">
      <c r="A496" s="281"/>
      <c r="B496" s="282"/>
      <c r="C496" s="278"/>
      <c r="D496" s="284"/>
      <c r="E496" s="285"/>
      <c r="F496" s="271"/>
      <c r="G496" s="272"/>
      <c r="H496" s="273"/>
      <c r="I496" s="274"/>
      <c r="J496" s="6"/>
      <c r="K496" s="6"/>
      <c r="L496" s="6"/>
      <c r="M496" s="6"/>
      <c r="N496" s="6"/>
    </row>
    <row r="497">
      <c r="A497" s="281"/>
      <c r="B497" s="282"/>
      <c r="C497" s="278"/>
      <c r="D497" s="284"/>
      <c r="E497" s="285"/>
      <c r="F497" s="271"/>
      <c r="G497" s="272"/>
      <c r="H497" s="273"/>
      <c r="I497" s="274"/>
      <c r="J497" s="6"/>
      <c r="K497" s="6"/>
      <c r="L497" s="6"/>
      <c r="M497" s="6"/>
      <c r="N497" s="6"/>
    </row>
    <row r="498">
      <c r="A498" s="281"/>
      <c r="B498" s="282"/>
      <c r="C498" s="278"/>
      <c r="D498" s="284"/>
      <c r="E498" s="285"/>
      <c r="F498" s="271"/>
      <c r="G498" s="272"/>
      <c r="H498" s="273"/>
      <c r="I498" s="274"/>
      <c r="J498" s="6"/>
      <c r="K498" s="6"/>
      <c r="L498" s="6"/>
      <c r="M498" s="6"/>
      <c r="N498" s="6"/>
    </row>
    <row r="499">
      <c r="A499" s="281"/>
      <c r="B499" s="282"/>
      <c r="C499" s="278"/>
      <c r="D499" s="284"/>
      <c r="E499" s="285"/>
      <c r="F499" s="271"/>
      <c r="G499" s="272"/>
      <c r="H499" s="273"/>
      <c r="I499" s="274"/>
      <c r="J499" s="6"/>
      <c r="K499" s="6"/>
      <c r="L499" s="6"/>
      <c r="M499" s="6"/>
      <c r="N499" s="6"/>
    </row>
    <row r="500">
      <c r="A500" s="281"/>
      <c r="B500" s="282"/>
      <c r="C500" s="278"/>
      <c r="D500" s="284"/>
      <c r="E500" s="285"/>
      <c r="F500" s="271"/>
      <c r="G500" s="272"/>
      <c r="H500" s="273"/>
      <c r="I500" s="274"/>
      <c r="J500" s="6"/>
      <c r="K500" s="6"/>
      <c r="L500" s="6"/>
      <c r="M500" s="6"/>
      <c r="N500" s="6"/>
    </row>
    <row r="501">
      <c r="A501" s="281"/>
      <c r="B501" s="282"/>
      <c r="C501" s="278"/>
      <c r="D501" s="284"/>
      <c r="E501" s="285"/>
      <c r="F501" s="271"/>
      <c r="G501" s="272"/>
      <c r="H501" s="273"/>
      <c r="I501" s="274"/>
      <c r="J501" s="6"/>
      <c r="K501" s="6"/>
      <c r="L501" s="6"/>
      <c r="M501" s="6"/>
      <c r="N501" s="6"/>
    </row>
    <row r="502">
      <c r="A502" s="281"/>
      <c r="B502" s="282"/>
      <c r="C502" s="278"/>
      <c r="D502" s="284"/>
      <c r="E502" s="285"/>
      <c r="F502" s="271"/>
      <c r="G502" s="272"/>
      <c r="H502" s="273"/>
      <c r="I502" s="274"/>
      <c r="J502" s="6"/>
      <c r="K502" s="6"/>
      <c r="L502" s="6"/>
      <c r="M502" s="6"/>
      <c r="N502" s="6"/>
    </row>
    <row r="503">
      <c r="A503" s="281"/>
      <c r="B503" s="282"/>
      <c r="C503" s="278"/>
      <c r="D503" s="284"/>
      <c r="E503" s="285"/>
      <c r="F503" s="271"/>
      <c r="G503" s="272"/>
      <c r="H503" s="273"/>
      <c r="I503" s="274"/>
      <c r="J503" s="6"/>
      <c r="K503" s="6"/>
      <c r="L503" s="6"/>
      <c r="M503" s="6"/>
      <c r="N503" s="6"/>
    </row>
    <row r="504">
      <c r="A504" s="281"/>
      <c r="B504" s="282"/>
      <c r="C504" s="278"/>
      <c r="D504" s="284"/>
      <c r="E504" s="285"/>
      <c r="F504" s="271"/>
      <c r="G504" s="272"/>
      <c r="H504" s="273"/>
      <c r="I504" s="274"/>
      <c r="J504" s="6"/>
      <c r="K504" s="6"/>
      <c r="L504" s="6"/>
      <c r="M504" s="6"/>
      <c r="N504" s="6"/>
    </row>
    <row r="505">
      <c r="A505" s="281"/>
      <c r="B505" s="282"/>
      <c r="C505" s="278"/>
      <c r="D505" s="284"/>
      <c r="E505" s="285"/>
      <c r="F505" s="271"/>
      <c r="G505" s="272"/>
      <c r="H505" s="273"/>
      <c r="I505" s="274"/>
      <c r="J505" s="6"/>
      <c r="K505" s="6"/>
      <c r="L505" s="6"/>
      <c r="M505" s="6"/>
      <c r="N505" s="6"/>
    </row>
    <row r="506">
      <c r="A506" s="281"/>
      <c r="B506" s="282"/>
      <c r="C506" s="278"/>
      <c r="D506" s="284"/>
      <c r="E506" s="285"/>
      <c r="F506" s="271"/>
      <c r="G506" s="272"/>
      <c r="H506" s="273"/>
      <c r="I506" s="274"/>
      <c r="J506" s="6"/>
      <c r="K506" s="6"/>
      <c r="L506" s="6"/>
      <c r="M506" s="6"/>
      <c r="N506" s="6"/>
    </row>
    <row r="507">
      <c r="A507" s="281"/>
      <c r="B507" s="282"/>
      <c r="C507" s="278"/>
      <c r="D507" s="284"/>
      <c r="E507" s="285"/>
      <c r="F507" s="271"/>
      <c r="G507" s="272"/>
      <c r="H507" s="273"/>
      <c r="I507" s="274"/>
      <c r="J507" s="6"/>
      <c r="K507" s="6"/>
      <c r="L507" s="6"/>
      <c r="M507" s="6"/>
      <c r="N507" s="6"/>
    </row>
    <row r="508">
      <c r="A508" s="281"/>
      <c r="B508" s="282"/>
      <c r="C508" s="278"/>
      <c r="D508" s="284"/>
      <c r="E508" s="285"/>
      <c r="F508" s="271"/>
      <c r="G508" s="272"/>
      <c r="H508" s="273"/>
      <c r="I508" s="274"/>
      <c r="J508" s="6"/>
      <c r="K508" s="6"/>
      <c r="L508" s="6"/>
      <c r="M508" s="6"/>
      <c r="N508" s="6"/>
    </row>
    <row r="509">
      <c r="A509" s="281"/>
      <c r="B509" s="282"/>
      <c r="C509" s="278"/>
      <c r="D509" s="284"/>
      <c r="E509" s="285"/>
      <c r="F509" s="271"/>
      <c r="G509" s="272"/>
      <c r="H509" s="273"/>
      <c r="I509" s="274"/>
      <c r="J509" s="6"/>
      <c r="K509" s="6"/>
      <c r="L509" s="6"/>
      <c r="M509" s="6"/>
      <c r="N509" s="6"/>
    </row>
    <row r="510">
      <c r="A510" s="281"/>
      <c r="B510" s="282"/>
      <c r="C510" s="278"/>
      <c r="D510" s="284"/>
      <c r="E510" s="285"/>
      <c r="F510" s="271"/>
      <c r="G510" s="272"/>
      <c r="H510" s="273"/>
      <c r="I510" s="274"/>
      <c r="J510" s="6"/>
      <c r="K510" s="6"/>
      <c r="L510" s="6"/>
      <c r="M510" s="6"/>
      <c r="N510" s="6"/>
    </row>
    <row r="511">
      <c r="A511" s="281"/>
      <c r="B511" s="282"/>
      <c r="C511" s="278"/>
      <c r="D511" s="284"/>
      <c r="E511" s="285"/>
      <c r="F511" s="271"/>
      <c r="G511" s="272"/>
      <c r="H511" s="273"/>
      <c r="I511" s="274"/>
      <c r="J511" s="6"/>
      <c r="K511" s="6"/>
      <c r="L511" s="6"/>
      <c r="M511" s="6"/>
      <c r="N511" s="6"/>
    </row>
    <row r="512">
      <c r="A512" s="281"/>
      <c r="B512" s="282"/>
      <c r="C512" s="278"/>
      <c r="D512" s="284"/>
      <c r="E512" s="285"/>
      <c r="F512" s="271"/>
      <c r="G512" s="272"/>
      <c r="H512" s="273"/>
      <c r="I512" s="274"/>
      <c r="J512" s="6"/>
      <c r="K512" s="6"/>
      <c r="L512" s="6"/>
      <c r="M512" s="6"/>
      <c r="N512" s="6"/>
    </row>
    <row r="513">
      <c r="A513" s="281"/>
      <c r="B513" s="282"/>
      <c r="C513" s="278"/>
      <c r="D513" s="284"/>
      <c r="E513" s="285"/>
      <c r="F513" s="271"/>
      <c r="G513" s="272"/>
      <c r="H513" s="273"/>
      <c r="I513" s="274"/>
      <c r="J513" s="6"/>
      <c r="K513" s="6"/>
      <c r="L513" s="6"/>
      <c r="M513" s="6"/>
      <c r="N513" s="6"/>
    </row>
    <row r="514">
      <c r="A514" s="281"/>
      <c r="B514" s="282"/>
      <c r="C514" s="278"/>
      <c r="D514" s="284"/>
      <c r="E514" s="285"/>
      <c r="F514" s="271"/>
      <c r="G514" s="272"/>
      <c r="H514" s="273"/>
      <c r="I514" s="274"/>
      <c r="J514" s="6"/>
      <c r="K514" s="6"/>
      <c r="L514" s="6"/>
      <c r="M514" s="6"/>
      <c r="N514" s="6"/>
    </row>
    <row r="515">
      <c r="A515" s="281"/>
      <c r="B515" s="282"/>
      <c r="C515" s="278"/>
      <c r="D515" s="284"/>
      <c r="E515" s="285"/>
      <c r="F515" s="271"/>
      <c r="G515" s="272"/>
      <c r="H515" s="273"/>
      <c r="I515" s="274"/>
      <c r="J515" s="6"/>
      <c r="K515" s="6"/>
      <c r="L515" s="6"/>
      <c r="M515" s="6"/>
      <c r="N515" s="6"/>
    </row>
    <row r="516">
      <c r="A516" s="281"/>
      <c r="B516" s="282"/>
      <c r="C516" s="278"/>
      <c r="D516" s="284"/>
      <c r="E516" s="285"/>
      <c r="F516" s="271"/>
      <c r="G516" s="272"/>
      <c r="H516" s="273"/>
      <c r="I516" s="274"/>
      <c r="J516" s="6"/>
      <c r="K516" s="6"/>
      <c r="L516" s="6"/>
      <c r="M516" s="6"/>
      <c r="N516" s="6"/>
    </row>
    <row r="517">
      <c r="A517" s="281"/>
      <c r="B517" s="282"/>
      <c r="C517" s="278"/>
      <c r="D517" s="284"/>
      <c r="E517" s="285"/>
      <c r="F517" s="271"/>
      <c r="G517" s="272"/>
      <c r="H517" s="273"/>
      <c r="I517" s="274"/>
      <c r="J517" s="6"/>
      <c r="K517" s="6"/>
      <c r="L517" s="6"/>
      <c r="M517" s="6"/>
      <c r="N517" s="6"/>
    </row>
    <row r="518">
      <c r="A518" s="281"/>
      <c r="B518" s="282"/>
      <c r="C518" s="278"/>
      <c r="D518" s="284"/>
      <c r="E518" s="285"/>
      <c r="F518" s="271"/>
      <c r="G518" s="272"/>
      <c r="H518" s="273"/>
      <c r="I518" s="274"/>
      <c r="J518" s="6"/>
      <c r="K518" s="6"/>
      <c r="L518" s="6"/>
      <c r="M518" s="6"/>
      <c r="N518" s="6"/>
    </row>
    <row r="519">
      <c r="A519" s="281"/>
      <c r="B519" s="282"/>
      <c r="C519" s="278"/>
      <c r="D519" s="284"/>
      <c r="E519" s="285"/>
      <c r="F519" s="271"/>
      <c r="G519" s="272"/>
      <c r="H519" s="273"/>
      <c r="I519" s="274"/>
      <c r="J519" s="6"/>
      <c r="K519" s="6"/>
      <c r="L519" s="6"/>
      <c r="M519" s="6"/>
      <c r="N519" s="6"/>
    </row>
    <row r="520">
      <c r="A520" s="281"/>
      <c r="B520" s="282"/>
      <c r="C520" s="278"/>
      <c r="D520" s="284"/>
      <c r="E520" s="285"/>
      <c r="F520" s="271"/>
      <c r="G520" s="272"/>
      <c r="H520" s="273"/>
      <c r="I520" s="274"/>
      <c r="J520" s="6"/>
      <c r="K520" s="6"/>
      <c r="L520" s="6"/>
      <c r="M520" s="6"/>
      <c r="N520" s="6"/>
    </row>
    <row r="521">
      <c r="A521" s="281"/>
      <c r="B521" s="282"/>
      <c r="C521" s="278"/>
      <c r="D521" s="284"/>
      <c r="E521" s="285"/>
      <c r="F521" s="271"/>
      <c r="G521" s="272"/>
      <c r="H521" s="273"/>
      <c r="I521" s="274"/>
      <c r="J521" s="6"/>
      <c r="K521" s="6"/>
      <c r="L521" s="6"/>
      <c r="M521" s="6"/>
      <c r="N521" s="6"/>
    </row>
    <row r="522">
      <c r="A522" s="281"/>
      <c r="B522" s="282"/>
      <c r="C522" s="278"/>
      <c r="D522" s="284"/>
      <c r="E522" s="285"/>
      <c r="F522" s="271"/>
      <c r="G522" s="272"/>
      <c r="H522" s="273"/>
      <c r="I522" s="274"/>
      <c r="J522" s="6"/>
      <c r="K522" s="6"/>
      <c r="L522" s="6"/>
      <c r="M522" s="6"/>
      <c r="N522" s="6"/>
    </row>
    <row r="523">
      <c r="A523" s="281"/>
      <c r="B523" s="282"/>
      <c r="C523" s="278"/>
      <c r="D523" s="284"/>
      <c r="E523" s="285"/>
      <c r="F523" s="271"/>
      <c r="G523" s="272"/>
      <c r="H523" s="273"/>
      <c r="I523" s="274"/>
      <c r="J523" s="6"/>
      <c r="K523" s="6"/>
      <c r="L523" s="6"/>
      <c r="M523" s="6"/>
      <c r="N523" s="6"/>
    </row>
    <row r="524">
      <c r="A524" s="281"/>
      <c r="B524" s="282"/>
      <c r="C524" s="278"/>
      <c r="D524" s="284"/>
      <c r="E524" s="285"/>
      <c r="F524" s="271"/>
      <c r="G524" s="272"/>
      <c r="H524" s="273"/>
      <c r="I524" s="274"/>
      <c r="J524" s="6"/>
      <c r="K524" s="6"/>
      <c r="L524" s="6"/>
      <c r="M524" s="6"/>
      <c r="N524" s="6"/>
    </row>
    <row r="525">
      <c r="A525" s="281"/>
      <c r="B525" s="282"/>
      <c r="C525" s="278"/>
      <c r="D525" s="284"/>
      <c r="E525" s="285"/>
      <c r="F525" s="271"/>
      <c r="G525" s="272"/>
      <c r="H525" s="273"/>
      <c r="I525" s="274"/>
      <c r="J525" s="6"/>
      <c r="K525" s="6"/>
      <c r="L525" s="6"/>
      <c r="M525" s="6"/>
      <c r="N525" s="6"/>
    </row>
    <row r="526">
      <c r="A526" s="281"/>
      <c r="B526" s="282"/>
      <c r="C526" s="278"/>
      <c r="D526" s="284"/>
      <c r="E526" s="285"/>
      <c r="F526" s="271"/>
      <c r="G526" s="272"/>
      <c r="H526" s="273"/>
      <c r="I526" s="274"/>
      <c r="J526" s="6"/>
      <c r="K526" s="6"/>
      <c r="L526" s="6"/>
      <c r="M526" s="6"/>
      <c r="N526" s="6"/>
    </row>
    <row r="527">
      <c r="A527" s="281"/>
      <c r="B527" s="282"/>
      <c r="C527" s="278"/>
      <c r="D527" s="284"/>
      <c r="E527" s="285"/>
      <c r="F527" s="271"/>
      <c r="G527" s="272"/>
      <c r="H527" s="273"/>
      <c r="I527" s="274"/>
      <c r="J527" s="6"/>
      <c r="K527" s="6"/>
      <c r="L527" s="6"/>
      <c r="M527" s="6"/>
      <c r="N527" s="6"/>
    </row>
    <row r="528">
      <c r="A528" s="281"/>
      <c r="B528" s="282"/>
      <c r="C528" s="278"/>
      <c r="D528" s="284"/>
      <c r="E528" s="285"/>
      <c r="F528" s="271"/>
      <c r="G528" s="272"/>
      <c r="H528" s="273"/>
      <c r="I528" s="274"/>
      <c r="J528" s="6"/>
      <c r="K528" s="6"/>
      <c r="L528" s="6"/>
      <c r="M528" s="6"/>
      <c r="N528" s="6"/>
    </row>
    <row r="529">
      <c r="A529" s="281"/>
      <c r="B529" s="282"/>
      <c r="C529" s="278"/>
      <c r="D529" s="284"/>
      <c r="E529" s="285"/>
      <c r="F529" s="271"/>
      <c r="G529" s="272"/>
      <c r="H529" s="273"/>
      <c r="I529" s="274"/>
      <c r="J529" s="6"/>
      <c r="K529" s="6"/>
      <c r="L529" s="6"/>
      <c r="M529" s="6"/>
      <c r="N529" s="6"/>
    </row>
    <row r="530">
      <c r="A530" s="281"/>
      <c r="B530" s="282"/>
      <c r="C530" s="278"/>
      <c r="D530" s="284"/>
      <c r="E530" s="285"/>
      <c r="F530" s="271"/>
      <c r="G530" s="272"/>
      <c r="H530" s="273"/>
      <c r="I530" s="274"/>
      <c r="J530" s="6"/>
      <c r="K530" s="6"/>
      <c r="L530" s="6"/>
      <c r="M530" s="6"/>
      <c r="N530" s="6"/>
    </row>
    <row r="531">
      <c r="A531" s="281"/>
      <c r="B531" s="282"/>
      <c r="C531" s="278"/>
      <c r="D531" s="284"/>
      <c r="E531" s="285"/>
      <c r="F531" s="271"/>
      <c r="G531" s="272"/>
      <c r="H531" s="273"/>
      <c r="I531" s="274"/>
      <c r="J531" s="6"/>
      <c r="K531" s="6"/>
      <c r="L531" s="6"/>
      <c r="M531" s="6"/>
      <c r="N531" s="6"/>
    </row>
    <row r="532">
      <c r="A532" s="281"/>
      <c r="B532" s="282"/>
      <c r="C532" s="278"/>
      <c r="D532" s="284"/>
      <c r="E532" s="285"/>
      <c r="F532" s="271"/>
      <c r="G532" s="272"/>
      <c r="H532" s="273"/>
      <c r="I532" s="274"/>
      <c r="J532" s="6"/>
      <c r="K532" s="6"/>
      <c r="L532" s="6"/>
      <c r="M532" s="6"/>
      <c r="N532" s="6"/>
    </row>
    <row r="533">
      <c r="A533" s="281"/>
      <c r="B533" s="282"/>
      <c r="C533" s="278"/>
      <c r="D533" s="284"/>
      <c r="E533" s="285"/>
      <c r="F533" s="271"/>
      <c r="G533" s="272"/>
      <c r="H533" s="273"/>
      <c r="I533" s="274"/>
      <c r="J533" s="6"/>
      <c r="K533" s="6"/>
      <c r="L533" s="6"/>
      <c r="M533" s="6"/>
      <c r="N533" s="6"/>
    </row>
    <row r="534">
      <c r="A534" s="281"/>
      <c r="B534" s="282"/>
      <c r="C534" s="278"/>
      <c r="D534" s="284"/>
      <c r="E534" s="285"/>
      <c r="F534" s="271"/>
      <c r="G534" s="272"/>
      <c r="H534" s="273"/>
      <c r="I534" s="274"/>
      <c r="J534" s="6"/>
      <c r="K534" s="6"/>
      <c r="L534" s="6"/>
      <c r="M534" s="6"/>
      <c r="N534" s="6"/>
    </row>
    <row r="535">
      <c r="A535" s="281"/>
      <c r="B535" s="282"/>
      <c r="C535" s="278"/>
      <c r="D535" s="284"/>
      <c r="E535" s="285"/>
      <c r="F535" s="271"/>
      <c r="G535" s="272"/>
      <c r="H535" s="273"/>
      <c r="I535" s="274"/>
      <c r="J535" s="6"/>
      <c r="K535" s="6"/>
      <c r="L535" s="6"/>
      <c r="M535" s="6"/>
      <c r="N535" s="6"/>
    </row>
    <row r="536">
      <c r="A536" s="281"/>
      <c r="B536" s="282"/>
      <c r="C536" s="278"/>
      <c r="D536" s="284"/>
      <c r="E536" s="285"/>
      <c r="F536" s="271"/>
      <c r="G536" s="272"/>
      <c r="H536" s="273"/>
      <c r="I536" s="274"/>
      <c r="J536" s="6"/>
      <c r="K536" s="6"/>
      <c r="L536" s="6"/>
      <c r="M536" s="6"/>
      <c r="N536" s="6"/>
    </row>
    <row r="537">
      <c r="A537" s="281"/>
      <c r="B537" s="282"/>
      <c r="C537" s="278"/>
      <c r="D537" s="284"/>
      <c r="E537" s="285"/>
      <c r="F537" s="271"/>
      <c r="G537" s="272"/>
      <c r="H537" s="273"/>
      <c r="I537" s="274"/>
      <c r="J537" s="6"/>
      <c r="K537" s="6"/>
      <c r="L537" s="6"/>
      <c r="M537" s="6"/>
      <c r="N537" s="6"/>
    </row>
    <row r="538">
      <c r="A538" s="281"/>
      <c r="B538" s="282"/>
      <c r="C538" s="278"/>
      <c r="D538" s="284"/>
      <c r="E538" s="285"/>
      <c r="F538" s="271"/>
      <c r="G538" s="272"/>
      <c r="H538" s="273"/>
      <c r="I538" s="274"/>
      <c r="J538" s="6"/>
      <c r="K538" s="6"/>
      <c r="L538" s="6"/>
      <c r="M538" s="6"/>
      <c r="N538" s="6"/>
    </row>
    <row r="539">
      <c r="A539" s="281"/>
      <c r="B539" s="282"/>
      <c r="C539" s="278"/>
      <c r="D539" s="284"/>
      <c r="E539" s="285"/>
      <c r="F539" s="271"/>
      <c r="G539" s="272"/>
      <c r="H539" s="273"/>
      <c r="I539" s="274"/>
      <c r="J539" s="6"/>
      <c r="K539" s="6"/>
      <c r="L539" s="6"/>
      <c r="M539" s="6"/>
      <c r="N539" s="6"/>
    </row>
    <row r="540">
      <c r="A540" s="281"/>
      <c r="B540" s="282"/>
      <c r="C540" s="278"/>
      <c r="D540" s="284"/>
      <c r="E540" s="285"/>
      <c r="F540" s="271"/>
      <c r="G540" s="272"/>
      <c r="H540" s="273"/>
      <c r="I540" s="274"/>
      <c r="J540" s="6"/>
      <c r="K540" s="6"/>
      <c r="L540" s="6"/>
      <c r="M540" s="6"/>
      <c r="N540" s="6"/>
    </row>
    <row r="541">
      <c r="A541" s="281"/>
      <c r="B541" s="282"/>
      <c r="C541" s="278"/>
      <c r="D541" s="284"/>
      <c r="E541" s="285"/>
      <c r="F541" s="271"/>
      <c r="G541" s="272"/>
      <c r="H541" s="273"/>
      <c r="I541" s="274"/>
      <c r="J541" s="6"/>
      <c r="K541" s="6"/>
      <c r="L541" s="6"/>
      <c r="M541" s="6"/>
      <c r="N541" s="6"/>
    </row>
    <row r="542">
      <c r="A542" s="281"/>
      <c r="B542" s="282"/>
      <c r="C542" s="278"/>
      <c r="D542" s="284"/>
      <c r="E542" s="285"/>
      <c r="F542" s="271"/>
      <c r="G542" s="272"/>
      <c r="H542" s="273"/>
      <c r="I542" s="274"/>
      <c r="J542" s="6"/>
      <c r="K542" s="6"/>
      <c r="L542" s="6"/>
      <c r="M542" s="6"/>
      <c r="N542" s="6"/>
    </row>
    <row r="543">
      <c r="A543" s="281"/>
      <c r="B543" s="282"/>
      <c r="C543" s="278"/>
      <c r="D543" s="284"/>
      <c r="E543" s="285"/>
      <c r="F543" s="271"/>
      <c r="G543" s="272"/>
      <c r="H543" s="273"/>
      <c r="I543" s="274"/>
      <c r="J543" s="6"/>
      <c r="K543" s="6"/>
      <c r="L543" s="6"/>
      <c r="M543" s="6"/>
      <c r="N543" s="6"/>
    </row>
    <row r="544">
      <c r="A544" s="281"/>
      <c r="B544" s="282"/>
      <c r="C544" s="278"/>
      <c r="D544" s="284"/>
      <c r="E544" s="285"/>
      <c r="F544" s="271"/>
      <c r="G544" s="272"/>
      <c r="H544" s="273"/>
      <c r="I544" s="274"/>
      <c r="J544" s="6"/>
      <c r="K544" s="6"/>
      <c r="L544" s="6"/>
      <c r="M544" s="6"/>
      <c r="N544" s="6"/>
    </row>
    <row r="545">
      <c r="A545" s="281"/>
      <c r="B545" s="282"/>
      <c r="C545" s="278"/>
      <c r="D545" s="284"/>
      <c r="E545" s="285"/>
      <c r="F545" s="271"/>
      <c r="G545" s="272"/>
      <c r="H545" s="273"/>
      <c r="I545" s="274"/>
      <c r="J545" s="6"/>
      <c r="K545" s="6"/>
      <c r="L545" s="6"/>
      <c r="M545" s="6"/>
      <c r="N545" s="6"/>
    </row>
    <row r="546">
      <c r="A546" s="281"/>
      <c r="B546" s="282"/>
      <c r="C546" s="278"/>
      <c r="D546" s="284"/>
      <c r="E546" s="285"/>
      <c r="F546" s="271"/>
      <c r="G546" s="272"/>
      <c r="H546" s="273"/>
      <c r="I546" s="274"/>
      <c r="J546" s="6"/>
      <c r="K546" s="6"/>
      <c r="L546" s="6"/>
      <c r="M546" s="6"/>
      <c r="N546" s="6"/>
    </row>
    <row r="547">
      <c r="A547" s="281"/>
      <c r="B547" s="282"/>
      <c r="C547" s="278"/>
      <c r="D547" s="284"/>
      <c r="E547" s="285"/>
      <c r="F547" s="271"/>
      <c r="G547" s="272"/>
      <c r="H547" s="273"/>
      <c r="I547" s="274"/>
      <c r="J547" s="6"/>
      <c r="K547" s="6"/>
      <c r="L547" s="6"/>
      <c r="M547" s="6"/>
      <c r="N547" s="6"/>
    </row>
    <row r="548">
      <c r="A548" s="281"/>
      <c r="B548" s="282"/>
      <c r="C548" s="278"/>
      <c r="D548" s="284"/>
      <c r="E548" s="285"/>
      <c r="F548" s="271"/>
      <c r="G548" s="272"/>
      <c r="H548" s="273"/>
      <c r="I548" s="274"/>
      <c r="J548" s="6"/>
      <c r="K548" s="6"/>
      <c r="L548" s="6"/>
      <c r="M548" s="6"/>
      <c r="N548" s="6"/>
    </row>
    <row r="549">
      <c r="A549" s="281"/>
      <c r="B549" s="282"/>
      <c r="C549" s="278"/>
      <c r="D549" s="284"/>
      <c r="E549" s="285"/>
      <c r="F549" s="271"/>
      <c r="G549" s="272"/>
      <c r="H549" s="273"/>
      <c r="I549" s="274"/>
      <c r="J549" s="6"/>
      <c r="K549" s="6"/>
      <c r="L549" s="6"/>
      <c r="M549" s="6"/>
      <c r="N549" s="6"/>
    </row>
    <row r="550">
      <c r="A550" s="281"/>
      <c r="B550" s="282"/>
      <c r="C550" s="278"/>
      <c r="D550" s="284"/>
      <c r="E550" s="285"/>
      <c r="F550" s="271"/>
      <c r="G550" s="272"/>
      <c r="H550" s="273"/>
      <c r="I550" s="274"/>
      <c r="J550" s="6"/>
      <c r="K550" s="6"/>
      <c r="L550" s="6"/>
      <c r="M550" s="6"/>
      <c r="N550" s="6"/>
    </row>
    <row r="551">
      <c r="A551" s="281"/>
      <c r="B551" s="282"/>
      <c r="C551" s="278"/>
      <c r="D551" s="284"/>
      <c r="E551" s="285"/>
      <c r="F551" s="271"/>
      <c r="G551" s="272"/>
      <c r="H551" s="273"/>
      <c r="I551" s="274"/>
      <c r="J551" s="6"/>
      <c r="K551" s="6"/>
      <c r="L551" s="6"/>
      <c r="M551" s="6"/>
      <c r="N551" s="6"/>
    </row>
    <row r="552">
      <c r="A552" s="281"/>
      <c r="B552" s="282"/>
      <c r="C552" s="278"/>
      <c r="D552" s="284"/>
      <c r="E552" s="285"/>
      <c r="F552" s="271"/>
      <c r="G552" s="272"/>
      <c r="H552" s="273"/>
      <c r="I552" s="274"/>
      <c r="J552" s="6"/>
      <c r="K552" s="6"/>
      <c r="L552" s="6"/>
      <c r="M552" s="6"/>
      <c r="N552" s="6"/>
    </row>
    <row r="553">
      <c r="A553" s="281"/>
      <c r="B553" s="282"/>
      <c r="C553" s="278"/>
      <c r="D553" s="284"/>
      <c r="E553" s="285"/>
      <c r="F553" s="271"/>
      <c r="G553" s="272"/>
      <c r="H553" s="273"/>
      <c r="I553" s="274"/>
      <c r="J553" s="6"/>
      <c r="K553" s="6"/>
      <c r="L553" s="6"/>
      <c r="M553" s="6"/>
      <c r="N553" s="6"/>
    </row>
    <row r="554">
      <c r="A554" s="281"/>
      <c r="B554" s="282"/>
      <c r="C554" s="278"/>
      <c r="D554" s="284"/>
      <c r="E554" s="285"/>
      <c r="F554" s="271"/>
      <c r="G554" s="272"/>
      <c r="H554" s="273"/>
      <c r="I554" s="274"/>
      <c r="J554" s="6"/>
      <c r="K554" s="6"/>
      <c r="L554" s="6"/>
      <c r="M554" s="6"/>
      <c r="N554" s="6"/>
    </row>
    <row r="555">
      <c r="A555" s="281"/>
      <c r="B555" s="282"/>
      <c r="C555" s="278"/>
      <c r="D555" s="284"/>
      <c r="E555" s="285"/>
      <c r="F555" s="271"/>
      <c r="G555" s="272"/>
      <c r="H555" s="273"/>
      <c r="I555" s="274"/>
      <c r="J555" s="6"/>
      <c r="K555" s="6"/>
      <c r="L555" s="6"/>
      <c r="M555" s="6"/>
      <c r="N555" s="6"/>
    </row>
    <row r="556">
      <c r="A556" s="281"/>
      <c r="B556" s="282"/>
      <c r="C556" s="278"/>
      <c r="D556" s="284"/>
      <c r="E556" s="285"/>
      <c r="F556" s="271"/>
      <c r="G556" s="272"/>
      <c r="H556" s="273"/>
      <c r="I556" s="274"/>
      <c r="J556" s="6"/>
      <c r="K556" s="6"/>
      <c r="L556" s="6"/>
      <c r="M556" s="6"/>
      <c r="N556" s="6"/>
    </row>
    <row r="557">
      <c r="A557" s="281"/>
      <c r="B557" s="282"/>
      <c r="C557" s="278"/>
      <c r="D557" s="284"/>
      <c r="E557" s="285"/>
      <c r="F557" s="271"/>
      <c r="G557" s="272"/>
      <c r="H557" s="273"/>
      <c r="I557" s="274"/>
      <c r="J557" s="6"/>
      <c r="K557" s="6"/>
      <c r="L557" s="6"/>
      <c r="M557" s="6"/>
      <c r="N557" s="6"/>
    </row>
    <row r="558">
      <c r="A558" s="281"/>
      <c r="B558" s="282"/>
      <c r="C558" s="278"/>
      <c r="D558" s="284"/>
      <c r="E558" s="285"/>
      <c r="F558" s="271"/>
      <c r="G558" s="272"/>
      <c r="H558" s="273"/>
      <c r="I558" s="274"/>
      <c r="J558" s="6"/>
      <c r="K558" s="6"/>
      <c r="L558" s="6"/>
      <c r="M558" s="6"/>
      <c r="N558" s="6"/>
    </row>
    <row r="559">
      <c r="A559" s="281"/>
      <c r="B559" s="282"/>
      <c r="C559" s="278"/>
      <c r="D559" s="284"/>
      <c r="E559" s="285"/>
      <c r="F559" s="271"/>
      <c r="G559" s="272"/>
      <c r="H559" s="273"/>
      <c r="I559" s="274"/>
      <c r="J559" s="6"/>
      <c r="K559" s="6"/>
      <c r="L559" s="6"/>
      <c r="M559" s="6"/>
      <c r="N559" s="6"/>
    </row>
    <row r="560">
      <c r="A560" s="281"/>
      <c r="B560" s="282"/>
      <c r="C560" s="278"/>
      <c r="D560" s="284"/>
      <c r="E560" s="285"/>
      <c r="F560" s="271"/>
      <c r="G560" s="272"/>
      <c r="H560" s="273"/>
      <c r="I560" s="274"/>
      <c r="J560" s="6"/>
      <c r="K560" s="6"/>
      <c r="L560" s="6"/>
      <c r="M560" s="6"/>
      <c r="N560" s="6"/>
    </row>
    <row r="561">
      <c r="A561" s="281"/>
      <c r="B561" s="282"/>
      <c r="C561" s="278"/>
      <c r="D561" s="284"/>
      <c r="E561" s="285"/>
      <c r="F561" s="271"/>
      <c r="G561" s="272"/>
      <c r="H561" s="273"/>
      <c r="I561" s="274"/>
      <c r="J561" s="6"/>
      <c r="K561" s="6"/>
      <c r="L561" s="6"/>
      <c r="M561" s="6"/>
      <c r="N561" s="6"/>
    </row>
    <row r="562">
      <c r="A562" s="281"/>
      <c r="B562" s="282"/>
      <c r="C562" s="278"/>
      <c r="D562" s="284"/>
      <c r="E562" s="285"/>
      <c r="F562" s="271"/>
      <c r="G562" s="272"/>
      <c r="H562" s="273"/>
      <c r="I562" s="274"/>
      <c r="J562" s="6"/>
      <c r="K562" s="6"/>
      <c r="L562" s="6"/>
      <c r="M562" s="6"/>
      <c r="N562" s="6"/>
    </row>
    <row r="563">
      <c r="A563" s="281"/>
      <c r="B563" s="282"/>
      <c r="C563" s="278"/>
      <c r="D563" s="284"/>
      <c r="E563" s="285"/>
      <c r="F563" s="271"/>
      <c r="G563" s="272"/>
      <c r="H563" s="273"/>
      <c r="I563" s="274"/>
      <c r="J563" s="6"/>
      <c r="K563" s="6"/>
      <c r="L563" s="6"/>
      <c r="M563" s="6"/>
      <c r="N563" s="6"/>
    </row>
    <row r="564">
      <c r="A564" s="281"/>
      <c r="B564" s="282"/>
      <c r="C564" s="278"/>
      <c r="D564" s="284"/>
      <c r="E564" s="285"/>
      <c r="F564" s="271"/>
      <c r="G564" s="272"/>
      <c r="H564" s="273"/>
      <c r="I564" s="274"/>
      <c r="J564" s="6"/>
      <c r="K564" s="6"/>
      <c r="L564" s="6"/>
      <c r="M564" s="6"/>
      <c r="N564" s="6"/>
    </row>
    <row r="565">
      <c r="A565" s="281"/>
      <c r="B565" s="282"/>
      <c r="C565" s="278"/>
      <c r="D565" s="284"/>
      <c r="E565" s="285"/>
      <c r="F565" s="271"/>
      <c r="G565" s="272"/>
      <c r="H565" s="273"/>
      <c r="I565" s="274"/>
      <c r="J565" s="6"/>
      <c r="K565" s="6"/>
      <c r="L565" s="6"/>
      <c r="M565" s="6"/>
      <c r="N565" s="6"/>
    </row>
    <row r="566">
      <c r="A566" s="281"/>
      <c r="B566" s="282"/>
      <c r="C566" s="278"/>
      <c r="D566" s="284"/>
      <c r="E566" s="285"/>
      <c r="F566" s="271"/>
      <c r="G566" s="272"/>
      <c r="H566" s="273"/>
      <c r="I566" s="274"/>
      <c r="J566" s="6"/>
      <c r="K566" s="6"/>
      <c r="L566" s="6"/>
      <c r="M566" s="6"/>
      <c r="N566" s="6"/>
    </row>
    <row r="567">
      <c r="A567" s="281"/>
      <c r="B567" s="282"/>
      <c r="C567" s="278"/>
      <c r="D567" s="284"/>
      <c r="E567" s="285"/>
      <c r="F567" s="271"/>
      <c r="G567" s="272"/>
      <c r="H567" s="273"/>
      <c r="I567" s="274"/>
      <c r="J567" s="6"/>
      <c r="K567" s="6"/>
      <c r="L567" s="6"/>
      <c r="M567" s="6"/>
      <c r="N567" s="6"/>
    </row>
    <row r="568">
      <c r="A568" s="281"/>
      <c r="B568" s="282"/>
      <c r="C568" s="278"/>
      <c r="D568" s="284"/>
      <c r="E568" s="285"/>
      <c r="F568" s="271"/>
      <c r="G568" s="272"/>
      <c r="H568" s="273"/>
      <c r="I568" s="274"/>
      <c r="J568" s="6"/>
      <c r="K568" s="6"/>
      <c r="L568" s="6"/>
      <c r="M568" s="6"/>
      <c r="N568" s="6"/>
    </row>
    <row r="569">
      <c r="A569" s="281"/>
      <c r="B569" s="282"/>
      <c r="C569" s="278"/>
      <c r="D569" s="284"/>
      <c r="E569" s="285"/>
      <c r="F569" s="271"/>
      <c r="G569" s="272"/>
      <c r="H569" s="273"/>
      <c r="I569" s="274"/>
      <c r="J569" s="6"/>
      <c r="K569" s="6"/>
      <c r="L569" s="6"/>
      <c r="M569" s="6"/>
      <c r="N569" s="6"/>
    </row>
    <row r="570">
      <c r="A570" s="281"/>
      <c r="B570" s="282"/>
      <c r="C570" s="278"/>
      <c r="D570" s="284"/>
      <c r="E570" s="285"/>
      <c r="F570" s="271"/>
      <c r="G570" s="272"/>
      <c r="H570" s="273"/>
      <c r="I570" s="274"/>
      <c r="J570" s="6"/>
      <c r="K570" s="6"/>
      <c r="L570" s="6"/>
      <c r="M570" s="6"/>
      <c r="N570" s="6"/>
    </row>
    <row r="571">
      <c r="A571" s="281"/>
      <c r="B571" s="282"/>
      <c r="C571" s="278"/>
      <c r="D571" s="284"/>
      <c r="E571" s="285"/>
      <c r="F571" s="271"/>
      <c r="G571" s="272"/>
      <c r="H571" s="273"/>
      <c r="I571" s="274"/>
      <c r="J571" s="6"/>
      <c r="K571" s="6"/>
      <c r="L571" s="6"/>
      <c r="M571" s="6"/>
      <c r="N571" s="6"/>
    </row>
    <row r="572">
      <c r="A572" s="281"/>
      <c r="B572" s="282"/>
      <c r="C572" s="278"/>
      <c r="D572" s="284"/>
      <c r="E572" s="285"/>
      <c r="F572" s="271"/>
      <c r="G572" s="272"/>
      <c r="H572" s="273"/>
      <c r="I572" s="274"/>
      <c r="J572" s="6"/>
      <c r="K572" s="6"/>
      <c r="L572" s="6"/>
      <c r="M572" s="6"/>
      <c r="N572" s="6"/>
    </row>
    <row r="573">
      <c r="A573" s="281"/>
      <c r="B573" s="282"/>
      <c r="C573" s="278"/>
      <c r="D573" s="284"/>
      <c r="E573" s="285"/>
      <c r="F573" s="271"/>
      <c r="G573" s="272"/>
      <c r="H573" s="273"/>
      <c r="I573" s="274"/>
      <c r="J573" s="6"/>
      <c r="K573" s="6"/>
      <c r="L573" s="6"/>
      <c r="M573" s="6"/>
      <c r="N573" s="6"/>
    </row>
    <row r="574">
      <c r="A574" s="281"/>
      <c r="B574" s="282"/>
      <c r="C574" s="278"/>
      <c r="D574" s="284"/>
      <c r="E574" s="285"/>
      <c r="F574" s="271"/>
      <c r="G574" s="272"/>
      <c r="H574" s="273"/>
      <c r="I574" s="274"/>
      <c r="J574" s="6"/>
      <c r="K574" s="6"/>
      <c r="L574" s="6"/>
      <c r="M574" s="6"/>
      <c r="N574" s="6"/>
    </row>
    <row r="575">
      <c r="A575" s="281"/>
      <c r="B575" s="282"/>
      <c r="C575" s="278"/>
      <c r="D575" s="284"/>
      <c r="E575" s="285"/>
      <c r="F575" s="271"/>
      <c r="G575" s="272"/>
      <c r="H575" s="273"/>
      <c r="I575" s="274"/>
      <c r="J575" s="6"/>
      <c r="K575" s="6"/>
      <c r="L575" s="6"/>
      <c r="M575" s="6"/>
      <c r="N575" s="6"/>
    </row>
    <row r="576">
      <c r="A576" s="281"/>
      <c r="B576" s="282"/>
      <c r="C576" s="278"/>
      <c r="D576" s="284"/>
      <c r="E576" s="285"/>
      <c r="F576" s="271"/>
      <c r="G576" s="272"/>
      <c r="H576" s="273"/>
      <c r="I576" s="274"/>
      <c r="J576" s="6"/>
      <c r="K576" s="6"/>
      <c r="L576" s="6"/>
      <c r="M576" s="6"/>
      <c r="N576" s="6"/>
    </row>
    <row r="577">
      <c r="A577" s="281"/>
      <c r="B577" s="282"/>
      <c r="C577" s="278"/>
      <c r="D577" s="284"/>
      <c r="E577" s="285"/>
      <c r="F577" s="271"/>
      <c r="G577" s="272"/>
      <c r="H577" s="273"/>
      <c r="I577" s="274"/>
      <c r="J577" s="6"/>
      <c r="K577" s="6"/>
      <c r="L577" s="6"/>
      <c r="M577" s="6"/>
      <c r="N577" s="6"/>
    </row>
    <row r="578">
      <c r="A578" s="281"/>
      <c r="B578" s="282"/>
      <c r="C578" s="278"/>
      <c r="D578" s="284"/>
      <c r="E578" s="285"/>
      <c r="F578" s="271"/>
      <c r="G578" s="272"/>
      <c r="H578" s="273"/>
      <c r="I578" s="274"/>
      <c r="J578" s="6"/>
      <c r="K578" s="6"/>
      <c r="L578" s="6"/>
      <c r="M578" s="6"/>
      <c r="N578" s="6"/>
    </row>
    <row r="579">
      <c r="A579" s="281"/>
      <c r="B579" s="282"/>
      <c r="C579" s="278"/>
      <c r="D579" s="284"/>
      <c r="E579" s="285"/>
      <c r="F579" s="271"/>
      <c r="G579" s="272"/>
      <c r="H579" s="273"/>
      <c r="I579" s="274"/>
      <c r="J579" s="6"/>
      <c r="K579" s="6"/>
      <c r="L579" s="6"/>
      <c r="M579" s="6"/>
      <c r="N579" s="6"/>
    </row>
    <row r="580">
      <c r="A580" s="281"/>
      <c r="B580" s="282"/>
      <c r="C580" s="278"/>
      <c r="D580" s="284"/>
      <c r="E580" s="285"/>
      <c r="F580" s="271"/>
      <c r="G580" s="272"/>
      <c r="H580" s="273"/>
      <c r="I580" s="274"/>
      <c r="J580" s="6"/>
      <c r="K580" s="6"/>
      <c r="L580" s="6"/>
      <c r="M580" s="6"/>
      <c r="N580" s="6"/>
    </row>
    <row r="581">
      <c r="A581" s="281"/>
      <c r="B581" s="282"/>
      <c r="C581" s="278"/>
      <c r="D581" s="284"/>
      <c r="E581" s="285"/>
      <c r="F581" s="271"/>
      <c r="G581" s="272"/>
      <c r="H581" s="273"/>
      <c r="I581" s="274"/>
      <c r="J581" s="6"/>
      <c r="K581" s="6"/>
      <c r="L581" s="6"/>
      <c r="M581" s="6"/>
      <c r="N581" s="6"/>
    </row>
    <row r="582">
      <c r="A582" s="281"/>
      <c r="B582" s="282"/>
      <c r="C582" s="278"/>
      <c r="D582" s="284"/>
      <c r="E582" s="285"/>
      <c r="F582" s="271"/>
      <c r="G582" s="272"/>
      <c r="H582" s="273"/>
      <c r="I582" s="274"/>
      <c r="J582" s="6"/>
      <c r="K582" s="6"/>
      <c r="L582" s="6"/>
      <c r="M582" s="6"/>
      <c r="N582" s="6"/>
    </row>
    <row r="583">
      <c r="A583" s="281"/>
      <c r="B583" s="282"/>
      <c r="C583" s="278"/>
      <c r="D583" s="284"/>
      <c r="E583" s="285"/>
      <c r="F583" s="271"/>
      <c r="G583" s="272"/>
      <c r="H583" s="273"/>
      <c r="I583" s="274"/>
      <c r="J583" s="6"/>
      <c r="K583" s="6"/>
      <c r="L583" s="6"/>
      <c r="M583" s="6"/>
      <c r="N583" s="6"/>
    </row>
    <row r="584">
      <c r="A584" s="281"/>
      <c r="B584" s="282"/>
      <c r="C584" s="278"/>
      <c r="D584" s="284"/>
      <c r="E584" s="285"/>
      <c r="F584" s="271"/>
      <c r="G584" s="272"/>
      <c r="H584" s="273"/>
      <c r="I584" s="274"/>
      <c r="J584" s="6"/>
      <c r="K584" s="6"/>
      <c r="L584" s="6"/>
      <c r="M584" s="6"/>
      <c r="N584" s="6"/>
    </row>
    <row r="585">
      <c r="A585" s="281"/>
      <c r="B585" s="282"/>
      <c r="C585" s="278"/>
      <c r="D585" s="284"/>
      <c r="E585" s="285"/>
      <c r="F585" s="271"/>
      <c r="G585" s="272"/>
      <c r="H585" s="273"/>
      <c r="I585" s="274"/>
      <c r="J585" s="6"/>
      <c r="K585" s="6"/>
      <c r="L585" s="6"/>
      <c r="M585" s="6"/>
      <c r="N585" s="6"/>
    </row>
    <row r="586">
      <c r="A586" s="281"/>
      <c r="B586" s="282"/>
      <c r="C586" s="278"/>
      <c r="D586" s="284"/>
      <c r="E586" s="285"/>
      <c r="F586" s="271"/>
      <c r="G586" s="272"/>
      <c r="H586" s="273"/>
      <c r="I586" s="274"/>
      <c r="J586" s="6"/>
      <c r="K586" s="6"/>
      <c r="L586" s="6"/>
      <c r="M586" s="6"/>
      <c r="N586" s="6"/>
    </row>
    <row r="587">
      <c r="A587" s="281"/>
      <c r="B587" s="282"/>
      <c r="C587" s="278"/>
      <c r="D587" s="284"/>
      <c r="E587" s="285"/>
      <c r="F587" s="271"/>
      <c r="G587" s="272"/>
      <c r="H587" s="273"/>
      <c r="I587" s="274"/>
      <c r="J587" s="6"/>
      <c r="K587" s="6"/>
      <c r="L587" s="6"/>
      <c r="M587" s="6"/>
      <c r="N587" s="6"/>
    </row>
    <row r="588">
      <c r="A588" s="281"/>
      <c r="B588" s="282"/>
      <c r="C588" s="278"/>
      <c r="D588" s="284"/>
      <c r="E588" s="285"/>
      <c r="F588" s="271"/>
      <c r="G588" s="272"/>
      <c r="H588" s="273"/>
      <c r="I588" s="274"/>
      <c r="J588" s="6"/>
      <c r="K588" s="6"/>
      <c r="L588" s="6"/>
      <c r="M588" s="6"/>
      <c r="N588" s="6"/>
    </row>
    <row r="589">
      <c r="A589" s="281"/>
      <c r="B589" s="282"/>
      <c r="C589" s="278"/>
      <c r="D589" s="284"/>
      <c r="E589" s="285"/>
      <c r="F589" s="271"/>
      <c r="G589" s="272"/>
      <c r="H589" s="273"/>
      <c r="I589" s="274"/>
      <c r="J589" s="6"/>
      <c r="K589" s="6"/>
      <c r="L589" s="6"/>
      <c r="M589" s="6"/>
      <c r="N589" s="6"/>
    </row>
    <row r="590">
      <c r="A590" s="281"/>
      <c r="B590" s="282"/>
      <c r="C590" s="278"/>
      <c r="D590" s="284"/>
      <c r="E590" s="285"/>
      <c r="F590" s="271"/>
      <c r="G590" s="272"/>
      <c r="H590" s="273"/>
      <c r="I590" s="274"/>
      <c r="J590" s="6"/>
      <c r="K590" s="6"/>
      <c r="L590" s="6"/>
      <c r="M590" s="6"/>
      <c r="N590" s="6"/>
    </row>
    <row r="591">
      <c r="A591" s="281"/>
      <c r="B591" s="282"/>
      <c r="C591" s="278"/>
      <c r="D591" s="284"/>
      <c r="E591" s="285"/>
      <c r="F591" s="271"/>
      <c r="G591" s="272"/>
      <c r="H591" s="273"/>
      <c r="I591" s="274"/>
      <c r="J591" s="6"/>
      <c r="K591" s="6"/>
      <c r="L591" s="6"/>
      <c r="M591" s="6"/>
      <c r="N591" s="6"/>
    </row>
    <row r="592">
      <c r="A592" s="281"/>
      <c r="B592" s="282"/>
      <c r="C592" s="278"/>
      <c r="D592" s="284"/>
      <c r="E592" s="285"/>
      <c r="F592" s="271"/>
      <c r="G592" s="272"/>
      <c r="H592" s="273"/>
      <c r="I592" s="274"/>
      <c r="J592" s="6"/>
      <c r="K592" s="6"/>
      <c r="L592" s="6"/>
      <c r="M592" s="6"/>
      <c r="N592" s="6"/>
    </row>
    <row r="593">
      <c r="A593" s="281"/>
      <c r="B593" s="282"/>
      <c r="C593" s="278"/>
      <c r="D593" s="284"/>
      <c r="E593" s="285"/>
      <c r="F593" s="271"/>
      <c r="G593" s="272"/>
      <c r="H593" s="273"/>
      <c r="I593" s="274"/>
      <c r="J593" s="6"/>
      <c r="K593" s="6"/>
      <c r="L593" s="6"/>
      <c r="M593" s="6"/>
      <c r="N593" s="6"/>
    </row>
    <row r="594">
      <c r="A594" s="281"/>
      <c r="B594" s="282"/>
      <c r="C594" s="278"/>
      <c r="D594" s="284"/>
      <c r="E594" s="285"/>
      <c r="F594" s="271"/>
      <c r="G594" s="272"/>
      <c r="H594" s="273"/>
      <c r="I594" s="274"/>
      <c r="J594" s="6"/>
      <c r="K594" s="6"/>
      <c r="L594" s="6"/>
      <c r="M594" s="6"/>
      <c r="N594" s="6"/>
    </row>
    <row r="595">
      <c r="A595" s="281"/>
      <c r="B595" s="282"/>
      <c r="C595" s="278"/>
      <c r="D595" s="284"/>
      <c r="E595" s="285"/>
      <c r="F595" s="271"/>
      <c r="G595" s="272"/>
      <c r="H595" s="273"/>
      <c r="I595" s="274"/>
      <c r="J595" s="6"/>
      <c r="K595" s="6"/>
      <c r="L595" s="6"/>
      <c r="M595" s="6"/>
      <c r="N595" s="6"/>
    </row>
    <row r="596">
      <c r="A596" s="281"/>
      <c r="B596" s="282"/>
      <c r="C596" s="278"/>
      <c r="D596" s="284"/>
      <c r="E596" s="285"/>
      <c r="F596" s="271"/>
      <c r="G596" s="272"/>
      <c r="H596" s="273"/>
      <c r="I596" s="274"/>
      <c r="J596" s="6"/>
      <c r="K596" s="6"/>
      <c r="L596" s="6"/>
      <c r="M596" s="6"/>
      <c r="N596" s="6"/>
    </row>
    <row r="597">
      <c r="A597" s="281"/>
      <c r="B597" s="282"/>
      <c r="C597" s="278"/>
      <c r="D597" s="284"/>
      <c r="E597" s="285"/>
      <c r="F597" s="271"/>
      <c r="G597" s="272"/>
      <c r="H597" s="273"/>
      <c r="I597" s="274"/>
      <c r="J597" s="6"/>
      <c r="K597" s="6"/>
      <c r="L597" s="6"/>
      <c r="M597" s="6"/>
      <c r="N597" s="6"/>
    </row>
    <row r="598">
      <c r="A598" s="281"/>
      <c r="B598" s="282"/>
      <c r="C598" s="278"/>
      <c r="D598" s="284"/>
      <c r="E598" s="285"/>
      <c r="F598" s="271"/>
      <c r="G598" s="272"/>
      <c r="H598" s="273"/>
      <c r="I598" s="274"/>
      <c r="J598" s="6"/>
      <c r="K598" s="6"/>
      <c r="L598" s="6"/>
      <c r="M598" s="6"/>
      <c r="N598" s="6"/>
    </row>
    <row r="599">
      <c r="A599" s="281"/>
      <c r="B599" s="282"/>
      <c r="C599" s="278"/>
      <c r="D599" s="284"/>
      <c r="E599" s="285"/>
      <c r="F599" s="271"/>
      <c r="G599" s="272"/>
      <c r="H599" s="273"/>
      <c r="I599" s="274"/>
      <c r="J599" s="6"/>
      <c r="K599" s="6"/>
      <c r="L599" s="6"/>
      <c r="M599" s="6"/>
      <c r="N599" s="6"/>
    </row>
    <row r="600">
      <c r="A600" s="281"/>
      <c r="B600" s="282"/>
      <c r="C600" s="278"/>
      <c r="D600" s="284"/>
      <c r="E600" s="285"/>
      <c r="F600" s="271"/>
      <c r="G600" s="272"/>
      <c r="H600" s="273"/>
      <c r="I600" s="274"/>
      <c r="J600" s="6"/>
      <c r="K600" s="6"/>
      <c r="L600" s="6"/>
      <c r="M600" s="6"/>
      <c r="N600" s="6"/>
    </row>
    <row r="601">
      <c r="A601" s="281"/>
      <c r="B601" s="282"/>
      <c r="C601" s="278"/>
      <c r="D601" s="284"/>
      <c r="E601" s="285"/>
      <c r="F601" s="271"/>
      <c r="G601" s="272"/>
      <c r="H601" s="273"/>
      <c r="I601" s="274"/>
      <c r="J601" s="6"/>
      <c r="K601" s="6"/>
      <c r="L601" s="6"/>
      <c r="M601" s="6"/>
      <c r="N601" s="6"/>
    </row>
    <row r="602">
      <c r="A602" s="281"/>
      <c r="B602" s="282"/>
      <c r="C602" s="278"/>
      <c r="D602" s="284"/>
      <c r="E602" s="285"/>
      <c r="F602" s="271"/>
      <c r="G602" s="272"/>
      <c r="H602" s="273"/>
      <c r="I602" s="274"/>
      <c r="J602" s="6"/>
      <c r="K602" s="6"/>
      <c r="L602" s="6"/>
      <c r="M602" s="6"/>
      <c r="N602" s="6"/>
    </row>
    <row r="603">
      <c r="A603" s="281"/>
      <c r="B603" s="282"/>
      <c r="C603" s="278"/>
      <c r="D603" s="284"/>
      <c r="E603" s="285"/>
      <c r="F603" s="271"/>
      <c r="G603" s="272"/>
      <c r="H603" s="273"/>
      <c r="I603" s="274"/>
      <c r="J603" s="6"/>
      <c r="K603" s="6"/>
      <c r="L603" s="6"/>
      <c r="M603" s="6"/>
      <c r="N603" s="6"/>
    </row>
    <row r="604">
      <c r="A604" s="281"/>
      <c r="B604" s="282"/>
      <c r="C604" s="278"/>
      <c r="D604" s="284"/>
      <c r="E604" s="285"/>
      <c r="F604" s="271"/>
      <c r="G604" s="272"/>
      <c r="H604" s="273"/>
      <c r="I604" s="274"/>
      <c r="J604" s="6"/>
      <c r="K604" s="6"/>
      <c r="L604" s="6"/>
      <c r="M604" s="6"/>
      <c r="N604" s="6"/>
    </row>
    <row r="605">
      <c r="A605" s="281"/>
      <c r="B605" s="282"/>
      <c r="C605" s="278"/>
      <c r="D605" s="284"/>
      <c r="E605" s="285"/>
      <c r="F605" s="271"/>
      <c r="G605" s="272"/>
      <c r="H605" s="273"/>
      <c r="I605" s="274"/>
      <c r="J605" s="6"/>
      <c r="K605" s="6"/>
      <c r="L605" s="6"/>
      <c r="M605" s="6"/>
      <c r="N605" s="6"/>
    </row>
    <row r="606">
      <c r="A606" s="281"/>
      <c r="B606" s="282"/>
      <c r="C606" s="278"/>
      <c r="D606" s="284"/>
      <c r="E606" s="285"/>
      <c r="F606" s="271"/>
      <c r="G606" s="272"/>
      <c r="H606" s="273"/>
      <c r="I606" s="274"/>
      <c r="J606" s="6"/>
      <c r="K606" s="6"/>
      <c r="L606" s="6"/>
      <c r="M606" s="6"/>
      <c r="N606" s="6"/>
    </row>
    <row r="607">
      <c r="A607" s="281"/>
      <c r="B607" s="282"/>
      <c r="C607" s="278"/>
      <c r="D607" s="284"/>
      <c r="E607" s="285"/>
      <c r="F607" s="271"/>
      <c r="G607" s="272"/>
      <c r="H607" s="273"/>
      <c r="I607" s="274"/>
      <c r="J607" s="6"/>
      <c r="K607" s="6"/>
      <c r="L607" s="6"/>
      <c r="M607" s="6"/>
      <c r="N607" s="6"/>
    </row>
    <row r="608">
      <c r="A608" s="281"/>
      <c r="B608" s="282"/>
      <c r="C608" s="278"/>
      <c r="D608" s="284"/>
      <c r="E608" s="285"/>
      <c r="F608" s="271"/>
      <c r="G608" s="272"/>
      <c r="H608" s="273"/>
      <c r="I608" s="274"/>
      <c r="J608" s="6"/>
      <c r="K608" s="6"/>
      <c r="L608" s="6"/>
      <c r="M608" s="6"/>
      <c r="N608" s="6"/>
    </row>
    <row r="609">
      <c r="A609" s="281"/>
      <c r="B609" s="282"/>
      <c r="C609" s="278"/>
      <c r="D609" s="284"/>
      <c r="E609" s="285"/>
      <c r="F609" s="271"/>
      <c r="G609" s="272"/>
      <c r="H609" s="273"/>
      <c r="I609" s="274"/>
      <c r="J609" s="6"/>
      <c r="K609" s="6"/>
      <c r="L609" s="6"/>
      <c r="M609" s="6"/>
      <c r="N609" s="6"/>
    </row>
    <row r="610">
      <c r="A610" s="281"/>
      <c r="B610" s="282"/>
      <c r="C610" s="278"/>
      <c r="D610" s="284"/>
      <c r="E610" s="285"/>
      <c r="F610" s="271"/>
      <c r="G610" s="272"/>
      <c r="H610" s="273"/>
      <c r="I610" s="274"/>
      <c r="J610" s="6"/>
      <c r="K610" s="6"/>
      <c r="L610" s="6"/>
      <c r="M610" s="6"/>
      <c r="N610" s="6"/>
    </row>
    <row r="611">
      <c r="A611" s="281"/>
      <c r="B611" s="282"/>
      <c r="C611" s="278"/>
      <c r="D611" s="284"/>
      <c r="E611" s="285"/>
      <c r="F611" s="271"/>
      <c r="G611" s="272"/>
      <c r="H611" s="273"/>
      <c r="I611" s="274"/>
      <c r="J611" s="6"/>
      <c r="K611" s="6"/>
      <c r="L611" s="6"/>
      <c r="M611" s="6"/>
      <c r="N611" s="6"/>
    </row>
    <row r="612">
      <c r="A612" s="281"/>
      <c r="B612" s="282"/>
      <c r="C612" s="278"/>
      <c r="D612" s="284"/>
      <c r="E612" s="285"/>
      <c r="F612" s="271"/>
      <c r="G612" s="272"/>
      <c r="H612" s="273"/>
      <c r="I612" s="274"/>
      <c r="J612" s="6"/>
      <c r="K612" s="6"/>
      <c r="L612" s="6"/>
      <c r="M612" s="6"/>
      <c r="N612" s="6"/>
    </row>
    <row r="613">
      <c r="A613" s="281"/>
      <c r="B613" s="282"/>
      <c r="C613" s="278"/>
      <c r="D613" s="284"/>
      <c r="E613" s="285"/>
      <c r="F613" s="271"/>
      <c r="G613" s="272"/>
      <c r="H613" s="273"/>
      <c r="I613" s="274"/>
      <c r="J613" s="6"/>
      <c r="K613" s="6"/>
      <c r="L613" s="6"/>
      <c r="M613" s="6"/>
      <c r="N613" s="6"/>
    </row>
    <row r="614">
      <c r="A614" s="281"/>
      <c r="B614" s="282"/>
      <c r="C614" s="278"/>
      <c r="D614" s="284"/>
      <c r="E614" s="285"/>
      <c r="F614" s="271"/>
      <c r="G614" s="272"/>
      <c r="H614" s="273"/>
      <c r="I614" s="274"/>
      <c r="J614" s="6"/>
      <c r="K614" s="6"/>
      <c r="L614" s="6"/>
      <c r="M614" s="6"/>
      <c r="N614" s="6"/>
    </row>
    <row r="615">
      <c r="A615" s="281"/>
      <c r="B615" s="282"/>
      <c r="C615" s="278"/>
      <c r="D615" s="284"/>
      <c r="E615" s="285"/>
      <c r="F615" s="271"/>
      <c r="G615" s="272"/>
      <c r="H615" s="273"/>
      <c r="I615" s="274"/>
      <c r="J615" s="6"/>
      <c r="K615" s="6"/>
      <c r="L615" s="6"/>
      <c r="M615" s="6"/>
      <c r="N615" s="6"/>
    </row>
    <row r="616">
      <c r="A616" s="281"/>
      <c r="B616" s="282"/>
      <c r="C616" s="278"/>
      <c r="D616" s="284"/>
      <c r="E616" s="285"/>
      <c r="F616" s="271"/>
      <c r="G616" s="272"/>
      <c r="H616" s="273"/>
      <c r="I616" s="274"/>
      <c r="J616" s="6"/>
      <c r="K616" s="6"/>
      <c r="L616" s="6"/>
      <c r="M616" s="6"/>
      <c r="N616" s="6"/>
    </row>
    <row r="617">
      <c r="A617" s="281"/>
      <c r="B617" s="282"/>
      <c r="C617" s="278"/>
      <c r="D617" s="284"/>
      <c r="E617" s="285"/>
      <c r="F617" s="271"/>
      <c r="G617" s="272"/>
      <c r="H617" s="273"/>
      <c r="I617" s="274"/>
      <c r="J617" s="6"/>
      <c r="K617" s="6"/>
      <c r="L617" s="6"/>
      <c r="M617" s="6"/>
      <c r="N617" s="6"/>
    </row>
    <row r="618">
      <c r="A618" s="281"/>
      <c r="B618" s="282"/>
      <c r="C618" s="278"/>
      <c r="D618" s="284"/>
      <c r="E618" s="285"/>
      <c r="F618" s="271"/>
      <c r="G618" s="272"/>
      <c r="H618" s="273"/>
      <c r="I618" s="274"/>
      <c r="J618" s="6"/>
      <c r="K618" s="6"/>
      <c r="L618" s="6"/>
      <c r="M618" s="6"/>
      <c r="N618" s="6"/>
    </row>
    <row r="619">
      <c r="A619" s="281"/>
      <c r="B619" s="282"/>
      <c r="C619" s="278"/>
      <c r="D619" s="284"/>
      <c r="E619" s="285"/>
      <c r="F619" s="271"/>
      <c r="G619" s="272"/>
      <c r="H619" s="273"/>
      <c r="I619" s="274"/>
      <c r="J619" s="6"/>
      <c r="K619" s="6"/>
      <c r="L619" s="6"/>
      <c r="M619" s="6"/>
      <c r="N619" s="6"/>
    </row>
    <row r="620">
      <c r="A620" s="281"/>
      <c r="B620" s="282"/>
      <c r="C620" s="278"/>
      <c r="D620" s="284"/>
      <c r="E620" s="285"/>
      <c r="F620" s="271"/>
      <c r="G620" s="272"/>
      <c r="H620" s="273"/>
      <c r="I620" s="274"/>
      <c r="J620" s="6"/>
      <c r="K620" s="6"/>
      <c r="L620" s="6"/>
      <c r="M620" s="6"/>
      <c r="N620" s="6"/>
    </row>
    <row r="621">
      <c r="A621" s="281"/>
      <c r="B621" s="282"/>
      <c r="C621" s="278"/>
      <c r="D621" s="284"/>
      <c r="E621" s="285"/>
      <c r="F621" s="271"/>
      <c r="G621" s="272"/>
      <c r="H621" s="273"/>
      <c r="I621" s="274"/>
      <c r="J621" s="6"/>
      <c r="K621" s="6"/>
      <c r="L621" s="6"/>
      <c r="M621" s="6"/>
      <c r="N621" s="6"/>
    </row>
    <row r="622">
      <c r="A622" s="281"/>
      <c r="B622" s="282"/>
      <c r="C622" s="278"/>
      <c r="D622" s="284"/>
      <c r="E622" s="285"/>
      <c r="F622" s="271"/>
      <c r="G622" s="272"/>
      <c r="H622" s="273"/>
      <c r="I622" s="274"/>
      <c r="J622" s="6"/>
      <c r="K622" s="6"/>
      <c r="L622" s="6"/>
      <c r="M622" s="6"/>
      <c r="N622" s="6"/>
    </row>
    <row r="623">
      <c r="A623" s="281"/>
      <c r="B623" s="282"/>
      <c r="C623" s="278"/>
      <c r="D623" s="284"/>
      <c r="E623" s="285"/>
      <c r="F623" s="271"/>
      <c r="G623" s="272"/>
      <c r="H623" s="273"/>
      <c r="I623" s="274"/>
      <c r="J623" s="6"/>
      <c r="K623" s="6"/>
      <c r="L623" s="6"/>
      <c r="M623" s="6"/>
      <c r="N623" s="6"/>
    </row>
    <row r="624">
      <c r="A624" s="281"/>
      <c r="B624" s="282"/>
      <c r="C624" s="278"/>
      <c r="D624" s="284"/>
      <c r="E624" s="285"/>
      <c r="F624" s="271"/>
      <c r="G624" s="272"/>
      <c r="H624" s="273"/>
      <c r="I624" s="274"/>
      <c r="J624" s="6"/>
      <c r="K624" s="6"/>
      <c r="L624" s="6"/>
      <c r="M624" s="6"/>
      <c r="N624" s="6"/>
    </row>
    <row r="625">
      <c r="A625" s="281"/>
      <c r="B625" s="282"/>
      <c r="C625" s="278"/>
      <c r="D625" s="284"/>
      <c r="E625" s="285"/>
      <c r="F625" s="271"/>
      <c r="G625" s="272"/>
      <c r="H625" s="273"/>
      <c r="I625" s="274"/>
      <c r="J625" s="6"/>
      <c r="K625" s="6"/>
      <c r="L625" s="6"/>
      <c r="M625" s="6"/>
      <c r="N625" s="6"/>
    </row>
    <row r="626">
      <c r="A626" s="281"/>
      <c r="B626" s="282"/>
      <c r="C626" s="278"/>
      <c r="D626" s="284"/>
      <c r="E626" s="285"/>
      <c r="F626" s="271"/>
      <c r="G626" s="272"/>
      <c r="H626" s="273"/>
      <c r="I626" s="274"/>
      <c r="J626" s="6"/>
      <c r="K626" s="6"/>
      <c r="L626" s="6"/>
      <c r="M626" s="6"/>
      <c r="N626" s="6"/>
    </row>
    <row r="627">
      <c r="A627" s="281"/>
      <c r="B627" s="282"/>
      <c r="C627" s="278"/>
      <c r="D627" s="284"/>
      <c r="E627" s="285"/>
      <c r="F627" s="271"/>
      <c r="G627" s="272"/>
      <c r="H627" s="273"/>
      <c r="I627" s="274"/>
      <c r="J627" s="6"/>
      <c r="K627" s="6"/>
      <c r="L627" s="6"/>
      <c r="M627" s="6"/>
      <c r="N627" s="6"/>
    </row>
    <row r="628">
      <c r="A628" s="281"/>
      <c r="B628" s="282"/>
      <c r="C628" s="278"/>
      <c r="D628" s="284"/>
      <c r="E628" s="285"/>
      <c r="F628" s="271"/>
      <c r="G628" s="272"/>
      <c r="H628" s="273"/>
      <c r="I628" s="274"/>
      <c r="J628" s="6"/>
      <c r="K628" s="6"/>
      <c r="L628" s="6"/>
      <c r="M628" s="6"/>
      <c r="N628" s="6"/>
    </row>
    <row r="629">
      <c r="A629" s="281"/>
      <c r="B629" s="282"/>
      <c r="C629" s="278"/>
      <c r="D629" s="284"/>
      <c r="E629" s="285"/>
      <c r="F629" s="271"/>
      <c r="G629" s="272"/>
      <c r="H629" s="273"/>
      <c r="I629" s="274"/>
      <c r="J629" s="6"/>
      <c r="K629" s="6"/>
      <c r="L629" s="6"/>
      <c r="M629" s="6"/>
      <c r="N629" s="6"/>
    </row>
    <row r="630">
      <c r="A630" s="281"/>
      <c r="B630" s="282"/>
      <c r="C630" s="278"/>
      <c r="D630" s="284"/>
      <c r="E630" s="285"/>
      <c r="F630" s="271"/>
      <c r="G630" s="272"/>
      <c r="H630" s="273"/>
      <c r="I630" s="274"/>
      <c r="J630" s="6"/>
      <c r="K630" s="6"/>
      <c r="L630" s="6"/>
      <c r="M630" s="6"/>
      <c r="N630" s="6"/>
    </row>
    <row r="631">
      <c r="A631" s="281"/>
      <c r="B631" s="282"/>
      <c r="C631" s="278"/>
      <c r="D631" s="284"/>
      <c r="E631" s="285"/>
      <c r="F631" s="271"/>
      <c r="G631" s="272"/>
      <c r="H631" s="273"/>
      <c r="I631" s="274"/>
      <c r="J631" s="6"/>
      <c r="K631" s="6"/>
      <c r="L631" s="6"/>
      <c r="M631" s="6"/>
      <c r="N631" s="6"/>
    </row>
    <row r="632">
      <c r="A632" s="281"/>
      <c r="B632" s="282"/>
      <c r="C632" s="278"/>
      <c r="D632" s="284"/>
      <c r="E632" s="285"/>
      <c r="F632" s="271"/>
      <c r="G632" s="272"/>
      <c r="H632" s="273"/>
      <c r="I632" s="274"/>
      <c r="J632" s="6"/>
      <c r="K632" s="6"/>
      <c r="L632" s="6"/>
      <c r="M632" s="6"/>
      <c r="N632" s="6"/>
    </row>
    <row r="633">
      <c r="A633" s="281"/>
      <c r="B633" s="282"/>
      <c r="C633" s="278"/>
      <c r="D633" s="284"/>
      <c r="E633" s="285"/>
      <c r="F633" s="271"/>
      <c r="G633" s="272"/>
      <c r="H633" s="273"/>
      <c r="I633" s="274"/>
      <c r="J633" s="6"/>
      <c r="K633" s="6"/>
      <c r="L633" s="6"/>
      <c r="M633" s="6"/>
      <c r="N633" s="6"/>
    </row>
    <row r="634">
      <c r="A634" s="281"/>
      <c r="B634" s="282"/>
      <c r="C634" s="278"/>
      <c r="D634" s="284"/>
      <c r="E634" s="285"/>
      <c r="F634" s="271"/>
      <c r="G634" s="272"/>
      <c r="H634" s="273"/>
      <c r="I634" s="274"/>
      <c r="J634" s="6"/>
      <c r="K634" s="6"/>
      <c r="L634" s="6"/>
      <c r="M634" s="6"/>
      <c r="N634" s="6"/>
    </row>
    <row r="635">
      <c r="A635" s="281"/>
      <c r="B635" s="282"/>
      <c r="C635" s="278"/>
      <c r="D635" s="284"/>
      <c r="E635" s="285"/>
      <c r="F635" s="271"/>
      <c r="G635" s="272"/>
      <c r="H635" s="273"/>
      <c r="I635" s="274"/>
      <c r="J635" s="6"/>
      <c r="K635" s="6"/>
      <c r="L635" s="6"/>
      <c r="M635" s="6"/>
      <c r="N635" s="6"/>
    </row>
    <row r="636">
      <c r="A636" s="281"/>
      <c r="B636" s="282"/>
      <c r="C636" s="278"/>
      <c r="D636" s="284"/>
      <c r="E636" s="285"/>
      <c r="F636" s="271"/>
      <c r="G636" s="272"/>
      <c r="H636" s="273"/>
      <c r="I636" s="274"/>
      <c r="J636" s="6"/>
      <c r="K636" s="6"/>
      <c r="L636" s="6"/>
      <c r="M636" s="6"/>
      <c r="N636" s="6"/>
    </row>
    <row r="637">
      <c r="A637" s="281"/>
      <c r="B637" s="282"/>
      <c r="C637" s="278"/>
      <c r="D637" s="284"/>
      <c r="E637" s="285"/>
      <c r="F637" s="271"/>
      <c r="G637" s="272"/>
      <c r="H637" s="273"/>
      <c r="I637" s="274"/>
      <c r="J637" s="6"/>
      <c r="K637" s="6"/>
      <c r="L637" s="6"/>
      <c r="M637" s="6"/>
      <c r="N637" s="6"/>
    </row>
    <row r="638">
      <c r="A638" s="281"/>
      <c r="B638" s="282"/>
      <c r="C638" s="278"/>
      <c r="D638" s="284"/>
      <c r="E638" s="285"/>
      <c r="F638" s="271"/>
      <c r="G638" s="272"/>
      <c r="H638" s="273"/>
      <c r="I638" s="274"/>
      <c r="J638" s="6"/>
      <c r="K638" s="6"/>
      <c r="L638" s="6"/>
      <c r="M638" s="6"/>
      <c r="N638" s="6"/>
    </row>
    <row r="639">
      <c r="A639" s="281"/>
      <c r="B639" s="282"/>
      <c r="C639" s="278"/>
      <c r="D639" s="284"/>
      <c r="E639" s="285"/>
      <c r="F639" s="271"/>
      <c r="G639" s="272"/>
      <c r="H639" s="273"/>
      <c r="I639" s="274"/>
      <c r="J639" s="6"/>
      <c r="K639" s="6"/>
      <c r="L639" s="6"/>
      <c r="M639" s="6"/>
      <c r="N639" s="6"/>
    </row>
    <row r="640">
      <c r="A640" s="281"/>
      <c r="B640" s="282"/>
      <c r="C640" s="278"/>
      <c r="D640" s="284"/>
      <c r="E640" s="285"/>
      <c r="F640" s="271"/>
      <c r="G640" s="272"/>
      <c r="H640" s="273"/>
      <c r="I640" s="274"/>
      <c r="J640" s="6"/>
      <c r="K640" s="6"/>
      <c r="L640" s="6"/>
      <c r="M640" s="6"/>
      <c r="N640" s="6"/>
    </row>
    <row r="641">
      <c r="A641" s="281"/>
      <c r="B641" s="282"/>
      <c r="C641" s="278"/>
      <c r="D641" s="284"/>
      <c r="E641" s="285"/>
      <c r="F641" s="271"/>
      <c r="G641" s="272"/>
      <c r="H641" s="273"/>
      <c r="I641" s="274"/>
      <c r="J641" s="6"/>
      <c r="K641" s="6"/>
      <c r="L641" s="6"/>
      <c r="M641" s="6"/>
      <c r="N641" s="6"/>
    </row>
    <row r="642">
      <c r="A642" s="281"/>
      <c r="B642" s="282"/>
      <c r="C642" s="278"/>
      <c r="D642" s="284"/>
      <c r="E642" s="285"/>
      <c r="F642" s="271"/>
      <c r="G642" s="272"/>
      <c r="H642" s="273"/>
      <c r="I642" s="274"/>
      <c r="J642" s="6"/>
      <c r="K642" s="6"/>
      <c r="L642" s="6"/>
      <c r="M642" s="6"/>
      <c r="N642" s="6"/>
    </row>
    <row r="643">
      <c r="A643" s="281"/>
      <c r="B643" s="282"/>
      <c r="C643" s="278"/>
      <c r="D643" s="284"/>
      <c r="E643" s="285"/>
      <c r="F643" s="271"/>
      <c r="G643" s="272"/>
      <c r="H643" s="273"/>
      <c r="I643" s="274"/>
      <c r="J643" s="6"/>
      <c r="K643" s="6"/>
      <c r="L643" s="6"/>
      <c r="M643" s="6"/>
      <c r="N643" s="6"/>
    </row>
    <row r="644">
      <c r="A644" s="281"/>
      <c r="B644" s="282"/>
      <c r="C644" s="278"/>
      <c r="D644" s="284"/>
      <c r="E644" s="285"/>
      <c r="F644" s="271"/>
      <c r="G644" s="272"/>
      <c r="H644" s="273"/>
      <c r="I644" s="274"/>
      <c r="J644" s="6"/>
      <c r="K644" s="6"/>
      <c r="L644" s="6"/>
      <c r="M644" s="6"/>
      <c r="N644" s="6"/>
    </row>
    <row r="645">
      <c r="A645" s="281"/>
      <c r="B645" s="282"/>
      <c r="C645" s="278"/>
      <c r="D645" s="284"/>
      <c r="E645" s="285"/>
      <c r="F645" s="271"/>
      <c r="G645" s="272"/>
      <c r="H645" s="273"/>
      <c r="I645" s="274"/>
      <c r="J645" s="6"/>
      <c r="K645" s="6"/>
      <c r="L645" s="6"/>
      <c r="M645" s="6"/>
      <c r="N645" s="6"/>
    </row>
    <row r="646">
      <c r="A646" s="281"/>
      <c r="B646" s="282"/>
      <c r="C646" s="278"/>
      <c r="D646" s="284"/>
      <c r="E646" s="285"/>
      <c r="F646" s="271"/>
      <c r="G646" s="272"/>
      <c r="H646" s="273"/>
      <c r="I646" s="274"/>
      <c r="J646" s="6"/>
      <c r="K646" s="6"/>
      <c r="L646" s="6"/>
      <c r="M646" s="6"/>
      <c r="N646" s="6"/>
    </row>
    <row r="647">
      <c r="A647" s="281"/>
      <c r="B647" s="282"/>
      <c r="C647" s="278"/>
      <c r="D647" s="284"/>
      <c r="E647" s="285"/>
      <c r="F647" s="271"/>
      <c r="G647" s="272"/>
      <c r="H647" s="273"/>
      <c r="I647" s="274"/>
      <c r="J647" s="6"/>
      <c r="K647" s="6"/>
      <c r="L647" s="6"/>
      <c r="M647" s="6"/>
      <c r="N647" s="6"/>
    </row>
    <row r="648">
      <c r="A648" s="281"/>
      <c r="B648" s="282"/>
      <c r="C648" s="278"/>
      <c r="D648" s="284"/>
      <c r="E648" s="285"/>
      <c r="F648" s="271"/>
      <c r="G648" s="272"/>
      <c r="H648" s="273"/>
      <c r="I648" s="274"/>
      <c r="J648" s="6"/>
      <c r="K648" s="6"/>
      <c r="L648" s="6"/>
      <c r="M648" s="6"/>
      <c r="N648" s="6"/>
    </row>
    <row r="649">
      <c r="A649" s="281"/>
      <c r="B649" s="282"/>
      <c r="C649" s="278"/>
      <c r="D649" s="284"/>
      <c r="E649" s="285"/>
      <c r="F649" s="271"/>
      <c r="G649" s="272"/>
      <c r="H649" s="273"/>
      <c r="I649" s="274"/>
      <c r="J649" s="6"/>
      <c r="K649" s="6"/>
      <c r="L649" s="6"/>
      <c r="M649" s="6"/>
      <c r="N649" s="6"/>
    </row>
    <row r="650">
      <c r="A650" s="281"/>
      <c r="B650" s="282"/>
      <c r="C650" s="278"/>
      <c r="D650" s="284"/>
      <c r="E650" s="285"/>
      <c r="F650" s="271"/>
      <c r="G650" s="272"/>
      <c r="H650" s="273"/>
      <c r="I650" s="274"/>
      <c r="J650" s="6"/>
      <c r="K650" s="6"/>
      <c r="L650" s="6"/>
      <c r="M650" s="6"/>
      <c r="N650" s="6"/>
    </row>
    <row r="651">
      <c r="A651" s="281"/>
      <c r="B651" s="282"/>
      <c r="C651" s="278"/>
      <c r="D651" s="284"/>
      <c r="E651" s="285"/>
      <c r="F651" s="271"/>
      <c r="G651" s="272"/>
      <c r="H651" s="273"/>
      <c r="I651" s="274"/>
      <c r="J651" s="6"/>
      <c r="K651" s="6"/>
      <c r="L651" s="6"/>
      <c r="M651" s="6"/>
      <c r="N651" s="6"/>
    </row>
    <row r="652">
      <c r="A652" s="281"/>
      <c r="B652" s="282"/>
      <c r="C652" s="278"/>
      <c r="D652" s="284"/>
      <c r="E652" s="285"/>
      <c r="F652" s="271"/>
      <c r="G652" s="272"/>
      <c r="H652" s="273"/>
      <c r="I652" s="274"/>
      <c r="J652" s="6"/>
      <c r="K652" s="6"/>
      <c r="L652" s="6"/>
      <c r="M652" s="6"/>
      <c r="N652" s="6"/>
    </row>
    <row r="653">
      <c r="A653" s="281"/>
      <c r="B653" s="282"/>
      <c r="C653" s="278"/>
      <c r="D653" s="284"/>
      <c r="E653" s="285"/>
      <c r="F653" s="271"/>
      <c r="G653" s="272"/>
      <c r="H653" s="273"/>
      <c r="I653" s="274"/>
      <c r="J653" s="6"/>
      <c r="K653" s="6"/>
      <c r="L653" s="6"/>
      <c r="M653" s="6"/>
      <c r="N653" s="6"/>
    </row>
    <row r="654">
      <c r="A654" s="281"/>
      <c r="B654" s="282"/>
      <c r="C654" s="278"/>
      <c r="D654" s="284"/>
      <c r="E654" s="285"/>
      <c r="F654" s="271"/>
      <c r="G654" s="272"/>
      <c r="H654" s="273"/>
      <c r="I654" s="274"/>
      <c r="J654" s="6"/>
      <c r="K654" s="6"/>
      <c r="L654" s="6"/>
      <c r="M654" s="6"/>
      <c r="N654" s="6"/>
    </row>
    <row r="655">
      <c r="A655" s="281"/>
      <c r="B655" s="282"/>
      <c r="C655" s="278"/>
      <c r="D655" s="284"/>
      <c r="E655" s="285"/>
      <c r="F655" s="271"/>
      <c r="G655" s="272"/>
      <c r="H655" s="273"/>
      <c r="I655" s="274"/>
      <c r="J655" s="6"/>
      <c r="K655" s="6"/>
      <c r="L655" s="6"/>
      <c r="M655" s="6"/>
      <c r="N655" s="6"/>
    </row>
    <row r="656">
      <c r="A656" s="281"/>
      <c r="B656" s="282"/>
      <c r="C656" s="278"/>
      <c r="D656" s="284"/>
      <c r="E656" s="285"/>
      <c r="F656" s="271"/>
      <c r="G656" s="272"/>
      <c r="H656" s="273"/>
      <c r="I656" s="274"/>
      <c r="J656" s="6"/>
      <c r="K656" s="6"/>
      <c r="L656" s="6"/>
      <c r="M656" s="6"/>
      <c r="N656" s="6"/>
    </row>
    <row r="657">
      <c r="A657" s="281"/>
      <c r="B657" s="282"/>
      <c r="C657" s="278"/>
      <c r="D657" s="284"/>
      <c r="E657" s="285"/>
      <c r="F657" s="271"/>
      <c r="G657" s="272"/>
      <c r="H657" s="273"/>
      <c r="I657" s="274"/>
      <c r="J657" s="6"/>
      <c r="K657" s="6"/>
      <c r="L657" s="6"/>
      <c r="M657" s="6"/>
      <c r="N657" s="6"/>
    </row>
    <row r="658">
      <c r="A658" s="281"/>
      <c r="B658" s="282"/>
      <c r="C658" s="278"/>
      <c r="D658" s="284"/>
      <c r="E658" s="285"/>
      <c r="F658" s="271"/>
      <c r="G658" s="272"/>
      <c r="H658" s="273"/>
      <c r="I658" s="274"/>
      <c r="J658" s="6"/>
      <c r="K658" s="6"/>
      <c r="L658" s="6"/>
      <c r="M658" s="6"/>
      <c r="N658" s="6"/>
    </row>
    <row r="659">
      <c r="A659" s="281"/>
      <c r="B659" s="282"/>
      <c r="C659" s="278"/>
      <c r="D659" s="284"/>
      <c r="E659" s="285"/>
      <c r="F659" s="271"/>
      <c r="G659" s="272"/>
      <c r="H659" s="273"/>
      <c r="I659" s="274"/>
      <c r="J659" s="6"/>
      <c r="K659" s="6"/>
      <c r="L659" s="6"/>
      <c r="M659" s="6"/>
      <c r="N659" s="6"/>
    </row>
    <row r="660">
      <c r="A660" s="281"/>
      <c r="B660" s="282"/>
      <c r="C660" s="278"/>
      <c r="D660" s="284"/>
      <c r="E660" s="285"/>
      <c r="F660" s="271"/>
      <c r="G660" s="272"/>
      <c r="H660" s="273"/>
      <c r="I660" s="274"/>
      <c r="J660" s="6"/>
      <c r="K660" s="6"/>
      <c r="L660" s="6"/>
      <c r="M660" s="6"/>
      <c r="N660" s="6"/>
    </row>
    <row r="661">
      <c r="A661" s="281"/>
      <c r="B661" s="282"/>
      <c r="C661" s="278"/>
      <c r="D661" s="284"/>
      <c r="E661" s="285"/>
      <c r="F661" s="271"/>
      <c r="G661" s="272"/>
      <c r="H661" s="273"/>
      <c r="I661" s="274"/>
      <c r="J661" s="6"/>
      <c r="K661" s="6"/>
      <c r="L661" s="6"/>
      <c r="M661" s="6"/>
      <c r="N661" s="6"/>
    </row>
    <row r="662">
      <c r="A662" s="281"/>
      <c r="B662" s="282"/>
      <c r="C662" s="278"/>
      <c r="D662" s="284"/>
      <c r="E662" s="285"/>
      <c r="F662" s="271"/>
      <c r="G662" s="272"/>
      <c r="H662" s="273"/>
      <c r="I662" s="274"/>
      <c r="J662" s="6"/>
      <c r="K662" s="6"/>
      <c r="L662" s="6"/>
      <c r="M662" s="6"/>
      <c r="N662" s="6"/>
    </row>
    <row r="663">
      <c r="A663" s="281"/>
      <c r="B663" s="282"/>
      <c r="C663" s="278"/>
      <c r="D663" s="284"/>
      <c r="E663" s="285"/>
      <c r="F663" s="271"/>
      <c r="G663" s="272"/>
      <c r="H663" s="273"/>
      <c r="I663" s="274"/>
      <c r="J663" s="6"/>
      <c r="K663" s="6"/>
      <c r="L663" s="6"/>
      <c r="M663" s="6"/>
      <c r="N663" s="6"/>
    </row>
    <row r="664">
      <c r="A664" s="281"/>
      <c r="B664" s="282"/>
      <c r="C664" s="278"/>
      <c r="D664" s="284"/>
      <c r="E664" s="285"/>
      <c r="F664" s="271"/>
      <c r="G664" s="272"/>
      <c r="H664" s="273"/>
      <c r="I664" s="274"/>
      <c r="J664" s="6"/>
      <c r="K664" s="6"/>
      <c r="L664" s="6"/>
      <c r="M664" s="6"/>
      <c r="N664" s="6"/>
    </row>
    <row r="665">
      <c r="A665" s="281"/>
      <c r="B665" s="282"/>
      <c r="C665" s="278"/>
      <c r="D665" s="284"/>
      <c r="E665" s="285"/>
      <c r="F665" s="271"/>
      <c r="G665" s="272"/>
      <c r="H665" s="273"/>
      <c r="I665" s="274"/>
      <c r="J665" s="6"/>
      <c r="K665" s="6"/>
      <c r="L665" s="6"/>
      <c r="M665" s="6"/>
      <c r="N665" s="6"/>
    </row>
    <row r="666">
      <c r="A666" s="281"/>
      <c r="B666" s="282"/>
      <c r="C666" s="278"/>
      <c r="D666" s="284"/>
      <c r="E666" s="285"/>
      <c r="F666" s="271"/>
      <c r="G666" s="272"/>
      <c r="H666" s="273"/>
      <c r="I666" s="274"/>
      <c r="J666" s="6"/>
      <c r="K666" s="6"/>
      <c r="L666" s="6"/>
      <c r="M666" s="6"/>
      <c r="N666" s="6"/>
    </row>
    <row r="667">
      <c r="A667" s="281"/>
      <c r="B667" s="282"/>
      <c r="C667" s="278"/>
      <c r="D667" s="284"/>
      <c r="E667" s="285"/>
      <c r="F667" s="271"/>
      <c r="G667" s="272"/>
      <c r="H667" s="273"/>
      <c r="I667" s="274"/>
      <c r="J667" s="6"/>
      <c r="K667" s="6"/>
      <c r="L667" s="6"/>
      <c r="M667" s="6"/>
      <c r="N667" s="6"/>
    </row>
    <row r="668">
      <c r="A668" s="281"/>
      <c r="B668" s="282"/>
      <c r="C668" s="278"/>
      <c r="D668" s="284"/>
      <c r="E668" s="285"/>
      <c r="F668" s="271"/>
      <c r="G668" s="272"/>
      <c r="H668" s="273"/>
      <c r="I668" s="274"/>
      <c r="J668" s="6"/>
      <c r="K668" s="6"/>
      <c r="L668" s="6"/>
      <c r="M668" s="6"/>
      <c r="N668" s="6"/>
    </row>
    <row r="669">
      <c r="A669" s="281"/>
      <c r="B669" s="282"/>
      <c r="C669" s="278"/>
      <c r="D669" s="284"/>
      <c r="E669" s="285"/>
      <c r="F669" s="271"/>
      <c r="G669" s="272"/>
      <c r="H669" s="273"/>
      <c r="I669" s="274"/>
      <c r="J669" s="6"/>
      <c r="K669" s="6"/>
      <c r="L669" s="6"/>
      <c r="M669" s="6"/>
      <c r="N669" s="6"/>
    </row>
    <row r="670">
      <c r="A670" s="281"/>
      <c r="B670" s="282"/>
      <c r="C670" s="278"/>
      <c r="D670" s="284"/>
      <c r="E670" s="285"/>
      <c r="F670" s="271"/>
      <c r="G670" s="272"/>
      <c r="H670" s="273"/>
      <c r="I670" s="274"/>
      <c r="J670" s="6"/>
      <c r="K670" s="6"/>
      <c r="L670" s="6"/>
      <c r="M670" s="6"/>
      <c r="N670" s="6"/>
    </row>
    <row r="671">
      <c r="A671" s="281"/>
      <c r="B671" s="282"/>
      <c r="C671" s="278"/>
      <c r="D671" s="284"/>
      <c r="E671" s="285"/>
      <c r="F671" s="271"/>
      <c r="G671" s="272"/>
      <c r="H671" s="273"/>
      <c r="I671" s="274"/>
      <c r="J671" s="6"/>
      <c r="K671" s="6"/>
      <c r="L671" s="6"/>
      <c r="M671" s="6"/>
      <c r="N671" s="6"/>
    </row>
    <row r="672">
      <c r="A672" s="281"/>
      <c r="B672" s="282"/>
      <c r="C672" s="278"/>
      <c r="D672" s="284"/>
      <c r="E672" s="285"/>
      <c r="F672" s="271"/>
      <c r="G672" s="272"/>
      <c r="H672" s="273"/>
      <c r="I672" s="274"/>
      <c r="J672" s="6"/>
      <c r="K672" s="6"/>
      <c r="L672" s="6"/>
      <c r="M672" s="6"/>
      <c r="N672" s="6"/>
    </row>
    <row r="673">
      <c r="A673" s="281"/>
      <c r="B673" s="282"/>
      <c r="C673" s="278"/>
      <c r="D673" s="284"/>
      <c r="E673" s="285"/>
      <c r="F673" s="271"/>
      <c r="G673" s="272"/>
      <c r="H673" s="273"/>
      <c r="I673" s="274"/>
      <c r="J673" s="6"/>
      <c r="K673" s="6"/>
      <c r="L673" s="6"/>
      <c r="M673" s="6"/>
      <c r="N673" s="6"/>
    </row>
    <row r="674">
      <c r="A674" s="281"/>
      <c r="B674" s="282"/>
      <c r="C674" s="278"/>
      <c r="D674" s="284"/>
      <c r="E674" s="285"/>
      <c r="F674" s="271"/>
      <c r="G674" s="272"/>
      <c r="H674" s="273"/>
      <c r="I674" s="274"/>
      <c r="J674" s="6"/>
      <c r="K674" s="6"/>
      <c r="L674" s="6"/>
      <c r="M674" s="6"/>
      <c r="N674" s="6"/>
    </row>
    <row r="675">
      <c r="A675" s="281"/>
      <c r="B675" s="282"/>
      <c r="C675" s="278"/>
      <c r="D675" s="284"/>
      <c r="E675" s="285"/>
      <c r="F675" s="271"/>
      <c r="G675" s="272"/>
      <c r="H675" s="273"/>
      <c r="I675" s="274"/>
      <c r="J675" s="6"/>
      <c r="K675" s="6"/>
      <c r="L675" s="6"/>
      <c r="M675" s="6"/>
      <c r="N675" s="6"/>
    </row>
    <row r="676">
      <c r="A676" s="281"/>
      <c r="B676" s="282"/>
      <c r="C676" s="278"/>
      <c r="D676" s="284"/>
      <c r="E676" s="285"/>
      <c r="F676" s="271"/>
      <c r="G676" s="272"/>
      <c r="H676" s="273"/>
      <c r="I676" s="274"/>
      <c r="J676" s="6"/>
      <c r="K676" s="6"/>
      <c r="L676" s="6"/>
      <c r="M676" s="6"/>
      <c r="N676" s="6"/>
    </row>
    <row r="677">
      <c r="A677" s="281"/>
      <c r="B677" s="282"/>
      <c r="C677" s="278"/>
      <c r="D677" s="284"/>
      <c r="E677" s="285"/>
      <c r="F677" s="271"/>
      <c r="G677" s="272"/>
      <c r="H677" s="273"/>
      <c r="I677" s="274"/>
      <c r="J677" s="6"/>
      <c r="K677" s="6"/>
      <c r="L677" s="6"/>
      <c r="M677" s="6"/>
      <c r="N677" s="6"/>
    </row>
    <row r="678">
      <c r="A678" s="281"/>
      <c r="B678" s="282"/>
      <c r="C678" s="278"/>
      <c r="D678" s="284"/>
      <c r="E678" s="285"/>
      <c r="F678" s="271"/>
      <c r="G678" s="272"/>
      <c r="H678" s="273"/>
      <c r="I678" s="274"/>
      <c r="J678" s="6"/>
      <c r="K678" s="6"/>
      <c r="L678" s="6"/>
      <c r="M678" s="6"/>
      <c r="N678" s="6"/>
    </row>
    <row r="679">
      <c r="A679" s="281"/>
      <c r="B679" s="282"/>
      <c r="C679" s="278"/>
      <c r="D679" s="284"/>
      <c r="E679" s="285"/>
      <c r="F679" s="271"/>
      <c r="G679" s="272"/>
      <c r="H679" s="273"/>
      <c r="I679" s="274"/>
      <c r="J679" s="6"/>
      <c r="K679" s="6"/>
      <c r="L679" s="6"/>
      <c r="M679" s="6"/>
      <c r="N679" s="6"/>
    </row>
    <row r="680">
      <c r="A680" s="281"/>
      <c r="B680" s="282"/>
      <c r="C680" s="278"/>
      <c r="D680" s="284"/>
      <c r="E680" s="285"/>
      <c r="F680" s="271"/>
      <c r="G680" s="272"/>
      <c r="H680" s="273"/>
      <c r="I680" s="274"/>
      <c r="J680" s="6"/>
      <c r="K680" s="6"/>
      <c r="L680" s="6"/>
      <c r="M680" s="6"/>
      <c r="N680" s="6"/>
    </row>
    <row r="681">
      <c r="A681" s="281"/>
      <c r="B681" s="282"/>
      <c r="C681" s="278"/>
      <c r="D681" s="284"/>
      <c r="E681" s="285"/>
      <c r="F681" s="271"/>
      <c r="G681" s="272"/>
      <c r="H681" s="273"/>
      <c r="I681" s="274"/>
      <c r="J681" s="6"/>
      <c r="K681" s="6"/>
      <c r="L681" s="6"/>
      <c r="M681" s="6"/>
      <c r="N681" s="6"/>
    </row>
    <row r="682">
      <c r="A682" s="281"/>
      <c r="B682" s="282"/>
      <c r="C682" s="278"/>
      <c r="D682" s="284"/>
      <c r="E682" s="285"/>
      <c r="F682" s="271"/>
      <c r="G682" s="272"/>
      <c r="H682" s="273"/>
      <c r="I682" s="274"/>
      <c r="J682" s="6"/>
      <c r="K682" s="6"/>
      <c r="L682" s="6"/>
      <c r="M682" s="6"/>
      <c r="N682" s="6"/>
    </row>
    <row r="683">
      <c r="A683" s="281"/>
      <c r="B683" s="282"/>
      <c r="C683" s="278"/>
      <c r="D683" s="284"/>
      <c r="E683" s="285"/>
      <c r="F683" s="271"/>
      <c r="G683" s="272"/>
      <c r="H683" s="273"/>
      <c r="I683" s="274"/>
      <c r="J683" s="6"/>
      <c r="K683" s="6"/>
      <c r="L683" s="6"/>
      <c r="M683" s="6"/>
      <c r="N683" s="6"/>
    </row>
    <row r="684">
      <c r="A684" s="281"/>
      <c r="B684" s="282"/>
      <c r="C684" s="278"/>
      <c r="D684" s="284"/>
      <c r="E684" s="285"/>
      <c r="F684" s="271"/>
      <c r="G684" s="272"/>
      <c r="H684" s="273"/>
      <c r="I684" s="274"/>
      <c r="J684" s="6"/>
      <c r="K684" s="6"/>
      <c r="L684" s="6"/>
      <c r="M684" s="6"/>
      <c r="N684" s="6"/>
    </row>
    <row r="685">
      <c r="A685" s="281"/>
      <c r="B685" s="282"/>
      <c r="C685" s="278"/>
      <c r="D685" s="284"/>
      <c r="E685" s="285"/>
      <c r="F685" s="271"/>
      <c r="G685" s="272"/>
      <c r="H685" s="273"/>
      <c r="I685" s="274"/>
      <c r="J685" s="6"/>
      <c r="K685" s="6"/>
      <c r="L685" s="6"/>
      <c r="M685" s="6"/>
      <c r="N685" s="6"/>
    </row>
    <row r="686">
      <c r="A686" s="281"/>
      <c r="B686" s="282"/>
      <c r="C686" s="278"/>
      <c r="D686" s="284"/>
      <c r="E686" s="285"/>
      <c r="F686" s="271"/>
      <c r="G686" s="272"/>
      <c r="H686" s="273"/>
      <c r="I686" s="274"/>
      <c r="J686" s="6"/>
      <c r="K686" s="6"/>
      <c r="L686" s="6"/>
      <c r="M686" s="6"/>
      <c r="N686" s="6"/>
    </row>
    <row r="687">
      <c r="A687" s="281"/>
      <c r="B687" s="282"/>
      <c r="C687" s="278"/>
      <c r="D687" s="284"/>
      <c r="E687" s="285"/>
      <c r="F687" s="271"/>
      <c r="G687" s="272"/>
      <c r="H687" s="273"/>
      <c r="I687" s="274"/>
      <c r="J687" s="6"/>
      <c r="K687" s="6"/>
      <c r="L687" s="6"/>
      <c r="M687" s="6"/>
      <c r="N687" s="6"/>
    </row>
    <row r="688">
      <c r="A688" s="281"/>
      <c r="B688" s="282"/>
      <c r="C688" s="278"/>
      <c r="D688" s="284"/>
      <c r="E688" s="285"/>
      <c r="F688" s="271"/>
      <c r="G688" s="272"/>
      <c r="H688" s="273"/>
      <c r="I688" s="274"/>
      <c r="J688" s="6"/>
      <c r="K688" s="6"/>
      <c r="L688" s="6"/>
      <c r="M688" s="6"/>
      <c r="N688" s="6"/>
    </row>
    <row r="689">
      <c r="A689" s="281"/>
      <c r="B689" s="282"/>
      <c r="C689" s="278"/>
      <c r="D689" s="284"/>
      <c r="E689" s="285"/>
      <c r="F689" s="271"/>
      <c r="G689" s="272"/>
      <c r="H689" s="273"/>
      <c r="I689" s="274"/>
      <c r="J689" s="6"/>
      <c r="K689" s="6"/>
      <c r="L689" s="6"/>
      <c r="M689" s="6"/>
      <c r="N689" s="6"/>
    </row>
    <row r="690">
      <c r="A690" s="281"/>
      <c r="B690" s="282"/>
      <c r="C690" s="278"/>
      <c r="D690" s="284"/>
      <c r="E690" s="285"/>
      <c r="F690" s="271"/>
      <c r="G690" s="272"/>
      <c r="H690" s="273"/>
      <c r="I690" s="274"/>
      <c r="J690" s="6"/>
      <c r="K690" s="6"/>
      <c r="L690" s="6"/>
      <c r="M690" s="6"/>
      <c r="N690" s="6"/>
    </row>
    <row r="691">
      <c r="A691" s="281"/>
      <c r="B691" s="282"/>
      <c r="C691" s="278"/>
      <c r="D691" s="284"/>
      <c r="E691" s="285"/>
      <c r="F691" s="271"/>
      <c r="G691" s="272"/>
      <c r="H691" s="273"/>
      <c r="I691" s="274"/>
      <c r="J691" s="6"/>
      <c r="K691" s="6"/>
      <c r="L691" s="6"/>
      <c r="M691" s="6"/>
      <c r="N691" s="6"/>
    </row>
    <row r="692">
      <c r="A692" s="281"/>
      <c r="B692" s="282"/>
      <c r="C692" s="278"/>
      <c r="D692" s="284"/>
      <c r="E692" s="285"/>
      <c r="F692" s="271"/>
      <c r="G692" s="272"/>
      <c r="H692" s="273"/>
      <c r="I692" s="274"/>
      <c r="J692" s="6"/>
      <c r="K692" s="6"/>
      <c r="L692" s="6"/>
      <c r="M692" s="6"/>
      <c r="N692" s="6"/>
    </row>
    <row r="693">
      <c r="A693" s="281"/>
      <c r="B693" s="282"/>
      <c r="C693" s="278"/>
      <c r="D693" s="284"/>
      <c r="E693" s="285"/>
      <c r="F693" s="271"/>
      <c r="G693" s="272"/>
      <c r="H693" s="273"/>
      <c r="I693" s="274"/>
      <c r="J693" s="6"/>
      <c r="K693" s="6"/>
      <c r="L693" s="6"/>
      <c r="M693" s="6"/>
      <c r="N693" s="6"/>
    </row>
    <row r="694">
      <c r="A694" s="281"/>
      <c r="B694" s="282"/>
      <c r="C694" s="278"/>
      <c r="D694" s="284"/>
      <c r="E694" s="285"/>
      <c r="F694" s="271"/>
      <c r="G694" s="272"/>
      <c r="H694" s="273"/>
      <c r="I694" s="274"/>
      <c r="J694" s="6"/>
      <c r="K694" s="6"/>
      <c r="L694" s="6"/>
      <c r="M694" s="6"/>
      <c r="N694" s="6"/>
    </row>
    <row r="695">
      <c r="A695" s="281"/>
      <c r="B695" s="282"/>
      <c r="C695" s="278"/>
      <c r="D695" s="284"/>
      <c r="E695" s="285"/>
      <c r="F695" s="271"/>
      <c r="G695" s="272"/>
      <c r="H695" s="273"/>
      <c r="I695" s="274"/>
      <c r="J695" s="6"/>
      <c r="K695" s="6"/>
      <c r="L695" s="6"/>
      <c r="M695" s="6"/>
      <c r="N695" s="6"/>
    </row>
    <row r="696">
      <c r="A696" s="281"/>
      <c r="B696" s="282"/>
      <c r="C696" s="278"/>
      <c r="D696" s="284"/>
      <c r="E696" s="285"/>
      <c r="F696" s="271"/>
      <c r="G696" s="272"/>
      <c r="H696" s="273"/>
      <c r="I696" s="274"/>
      <c r="J696" s="6"/>
      <c r="K696" s="6"/>
      <c r="L696" s="6"/>
      <c r="M696" s="6"/>
      <c r="N696" s="6"/>
    </row>
    <row r="697">
      <c r="A697" s="281"/>
      <c r="B697" s="282"/>
      <c r="C697" s="278"/>
      <c r="D697" s="284"/>
      <c r="E697" s="285"/>
      <c r="F697" s="271"/>
      <c r="G697" s="272"/>
      <c r="H697" s="273"/>
      <c r="I697" s="274"/>
      <c r="J697" s="6"/>
      <c r="K697" s="6"/>
      <c r="L697" s="6"/>
      <c r="M697" s="6"/>
      <c r="N697" s="6"/>
    </row>
    <row r="698">
      <c r="A698" s="281"/>
      <c r="B698" s="282"/>
      <c r="C698" s="278"/>
      <c r="D698" s="284"/>
      <c r="E698" s="285"/>
      <c r="F698" s="271"/>
      <c r="G698" s="272"/>
      <c r="H698" s="273"/>
      <c r="I698" s="274"/>
      <c r="J698" s="6"/>
      <c r="K698" s="6"/>
      <c r="L698" s="6"/>
      <c r="M698" s="6"/>
      <c r="N698" s="6"/>
    </row>
    <row r="699">
      <c r="A699" s="281"/>
      <c r="B699" s="282"/>
      <c r="C699" s="278"/>
      <c r="D699" s="284"/>
      <c r="E699" s="285"/>
      <c r="F699" s="271"/>
      <c r="G699" s="272"/>
      <c r="H699" s="273"/>
      <c r="I699" s="274"/>
      <c r="J699" s="6"/>
      <c r="K699" s="6"/>
      <c r="L699" s="6"/>
      <c r="M699" s="6"/>
      <c r="N699" s="6"/>
    </row>
    <row r="700">
      <c r="A700" s="281"/>
      <c r="B700" s="282"/>
      <c r="C700" s="278"/>
      <c r="D700" s="284"/>
      <c r="E700" s="285"/>
      <c r="F700" s="271"/>
      <c r="G700" s="272"/>
      <c r="H700" s="273"/>
      <c r="I700" s="274"/>
      <c r="J700" s="6"/>
      <c r="K700" s="6"/>
      <c r="L700" s="6"/>
      <c r="M700" s="6"/>
      <c r="N700" s="6"/>
    </row>
    <row r="701">
      <c r="A701" s="281"/>
      <c r="B701" s="282"/>
      <c r="C701" s="278"/>
      <c r="D701" s="284"/>
      <c r="E701" s="285"/>
      <c r="F701" s="271"/>
      <c r="G701" s="272"/>
      <c r="H701" s="273"/>
      <c r="I701" s="274"/>
      <c r="J701" s="6"/>
      <c r="K701" s="6"/>
      <c r="L701" s="6"/>
      <c r="M701" s="6"/>
      <c r="N701" s="6"/>
    </row>
    <row r="702">
      <c r="A702" s="281"/>
      <c r="B702" s="282"/>
      <c r="C702" s="278"/>
      <c r="D702" s="284"/>
      <c r="E702" s="285"/>
      <c r="F702" s="271"/>
      <c r="G702" s="272"/>
      <c r="H702" s="273"/>
      <c r="I702" s="274"/>
      <c r="J702" s="6"/>
      <c r="K702" s="6"/>
      <c r="L702" s="6"/>
      <c r="M702" s="6"/>
      <c r="N702" s="6"/>
    </row>
    <row r="703">
      <c r="A703" s="281"/>
      <c r="B703" s="282"/>
      <c r="C703" s="278"/>
      <c r="D703" s="284"/>
      <c r="E703" s="285"/>
      <c r="F703" s="271"/>
      <c r="G703" s="272"/>
      <c r="H703" s="273"/>
      <c r="I703" s="274"/>
      <c r="J703" s="6"/>
      <c r="K703" s="6"/>
      <c r="L703" s="6"/>
      <c r="M703" s="6"/>
      <c r="N703" s="6"/>
    </row>
    <row r="704">
      <c r="A704" s="281"/>
      <c r="B704" s="282"/>
      <c r="C704" s="278"/>
      <c r="D704" s="284"/>
      <c r="E704" s="285"/>
      <c r="F704" s="271"/>
      <c r="G704" s="272"/>
      <c r="H704" s="273"/>
      <c r="I704" s="274"/>
      <c r="J704" s="6"/>
      <c r="K704" s="6"/>
      <c r="L704" s="6"/>
      <c r="M704" s="6"/>
      <c r="N704" s="6"/>
    </row>
    <row r="705">
      <c r="A705" s="281"/>
      <c r="B705" s="282"/>
      <c r="C705" s="278"/>
      <c r="D705" s="284"/>
      <c r="E705" s="285"/>
      <c r="F705" s="271"/>
      <c r="G705" s="272"/>
      <c r="H705" s="273"/>
      <c r="I705" s="274"/>
      <c r="J705" s="6"/>
      <c r="K705" s="6"/>
      <c r="L705" s="6"/>
      <c r="M705" s="6"/>
      <c r="N705" s="6"/>
    </row>
    <row r="706">
      <c r="A706" s="281"/>
      <c r="B706" s="282"/>
      <c r="C706" s="278"/>
      <c r="D706" s="284"/>
      <c r="E706" s="285"/>
      <c r="F706" s="271"/>
      <c r="G706" s="272"/>
      <c r="H706" s="273"/>
      <c r="I706" s="274"/>
      <c r="J706" s="6"/>
      <c r="K706" s="6"/>
      <c r="L706" s="6"/>
      <c r="M706" s="6"/>
      <c r="N706" s="6"/>
    </row>
    <row r="707">
      <c r="A707" s="281"/>
      <c r="B707" s="282"/>
      <c r="C707" s="278"/>
      <c r="D707" s="284"/>
      <c r="E707" s="285"/>
      <c r="F707" s="271"/>
      <c r="G707" s="272"/>
      <c r="H707" s="273"/>
      <c r="I707" s="274"/>
      <c r="J707" s="6"/>
      <c r="K707" s="6"/>
      <c r="L707" s="6"/>
      <c r="M707" s="6"/>
      <c r="N707" s="6"/>
    </row>
    <row r="708">
      <c r="A708" s="281"/>
      <c r="B708" s="282"/>
      <c r="C708" s="278"/>
      <c r="D708" s="284"/>
      <c r="E708" s="285"/>
      <c r="F708" s="271"/>
      <c r="G708" s="272"/>
      <c r="H708" s="273"/>
      <c r="I708" s="274"/>
      <c r="J708" s="6"/>
      <c r="K708" s="6"/>
      <c r="L708" s="6"/>
      <c r="M708" s="6"/>
      <c r="N708" s="6"/>
    </row>
    <row r="709">
      <c r="A709" s="281"/>
      <c r="B709" s="282"/>
      <c r="C709" s="278"/>
      <c r="D709" s="284"/>
      <c r="E709" s="285"/>
      <c r="F709" s="271"/>
      <c r="G709" s="272"/>
      <c r="H709" s="273"/>
      <c r="I709" s="274"/>
      <c r="J709" s="6"/>
      <c r="K709" s="6"/>
      <c r="L709" s="6"/>
      <c r="M709" s="6"/>
      <c r="N709" s="6"/>
    </row>
    <row r="710">
      <c r="A710" s="281"/>
      <c r="B710" s="282"/>
      <c r="C710" s="278"/>
      <c r="D710" s="284"/>
      <c r="E710" s="285"/>
      <c r="F710" s="271"/>
      <c r="G710" s="272"/>
      <c r="H710" s="273"/>
      <c r="I710" s="274"/>
      <c r="J710" s="6"/>
      <c r="K710" s="6"/>
      <c r="L710" s="6"/>
      <c r="M710" s="6"/>
      <c r="N710" s="6"/>
    </row>
    <row r="711">
      <c r="A711" s="281"/>
      <c r="B711" s="282"/>
      <c r="C711" s="278"/>
      <c r="D711" s="284"/>
      <c r="E711" s="285"/>
      <c r="F711" s="271"/>
      <c r="G711" s="272"/>
      <c r="H711" s="273"/>
      <c r="I711" s="274"/>
      <c r="J711" s="6"/>
      <c r="K711" s="6"/>
      <c r="L711" s="6"/>
      <c r="M711" s="6"/>
      <c r="N711" s="6"/>
    </row>
    <row r="712">
      <c r="A712" s="281"/>
      <c r="B712" s="282"/>
      <c r="C712" s="278"/>
      <c r="D712" s="284"/>
      <c r="E712" s="285"/>
      <c r="F712" s="271"/>
      <c r="G712" s="272"/>
      <c r="H712" s="273"/>
      <c r="I712" s="274"/>
      <c r="J712" s="6"/>
      <c r="K712" s="6"/>
      <c r="L712" s="6"/>
      <c r="M712" s="6"/>
      <c r="N712" s="6"/>
    </row>
    <row r="713">
      <c r="A713" s="281"/>
      <c r="B713" s="282"/>
      <c r="C713" s="278"/>
      <c r="D713" s="284"/>
      <c r="E713" s="285"/>
      <c r="F713" s="271"/>
      <c r="G713" s="272"/>
      <c r="H713" s="273"/>
      <c r="I713" s="274"/>
      <c r="J713" s="6"/>
      <c r="K713" s="6"/>
      <c r="L713" s="6"/>
      <c r="M713" s="6"/>
      <c r="N713" s="6"/>
    </row>
    <row r="714">
      <c r="A714" s="281"/>
      <c r="B714" s="282"/>
      <c r="C714" s="278"/>
      <c r="D714" s="284"/>
      <c r="E714" s="285"/>
      <c r="F714" s="271"/>
      <c r="G714" s="272"/>
      <c r="H714" s="273"/>
      <c r="I714" s="274"/>
      <c r="J714" s="6"/>
      <c r="K714" s="6"/>
      <c r="L714" s="6"/>
      <c r="M714" s="6"/>
      <c r="N714" s="6"/>
    </row>
    <row r="715">
      <c r="A715" s="281"/>
      <c r="B715" s="282"/>
      <c r="C715" s="278"/>
      <c r="D715" s="284"/>
      <c r="E715" s="285"/>
      <c r="F715" s="271"/>
      <c r="G715" s="272"/>
      <c r="H715" s="273"/>
      <c r="I715" s="274"/>
      <c r="J715" s="6"/>
      <c r="K715" s="6"/>
      <c r="L715" s="6"/>
      <c r="M715" s="6"/>
      <c r="N715" s="6"/>
    </row>
    <row r="716">
      <c r="A716" s="281"/>
      <c r="B716" s="282"/>
      <c r="C716" s="278"/>
      <c r="D716" s="284"/>
      <c r="E716" s="285"/>
      <c r="F716" s="271"/>
      <c r="G716" s="272"/>
      <c r="H716" s="273"/>
      <c r="I716" s="274"/>
      <c r="J716" s="6"/>
      <c r="K716" s="6"/>
      <c r="L716" s="6"/>
      <c r="M716" s="6"/>
      <c r="N716" s="6"/>
    </row>
    <row r="717">
      <c r="A717" s="281"/>
      <c r="B717" s="282"/>
      <c r="C717" s="278"/>
      <c r="D717" s="284"/>
      <c r="E717" s="285"/>
      <c r="F717" s="271"/>
      <c r="G717" s="272"/>
      <c r="H717" s="273"/>
      <c r="I717" s="274"/>
      <c r="J717" s="6"/>
      <c r="K717" s="6"/>
      <c r="L717" s="6"/>
      <c r="M717" s="6"/>
      <c r="N717" s="6"/>
    </row>
    <row r="718">
      <c r="A718" s="281"/>
      <c r="B718" s="282"/>
      <c r="C718" s="278"/>
      <c r="D718" s="284"/>
      <c r="E718" s="285"/>
      <c r="F718" s="271"/>
      <c r="G718" s="272"/>
      <c r="H718" s="273"/>
      <c r="I718" s="274"/>
      <c r="J718" s="6"/>
      <c r="K718" s="6"/>
      <c r="L718" s="6"/>
      <c r="M718" s="6"/>
      <c r="N718" s="6"/>
    </row>
    <row r="719">
      <c r="A719" s="281"/>
      <c r="B719" s="282"/>
      <c r="C719" s="278"/>
      <c r="D719" s="284"/>
      <c r="E719" s="285"/>
      <c r="F719" s="271"/>
      <c r="G719" s="272"/>
      <c r="H719" s="273"/>
      <c r="I719" s="274"/>
      <c r="J719" s="6"/>
      <c r="K719" s="6"/>
      <c r="L719" s="6"/>
      <c r="M719" s="6"/>
      <c r="N719" s="6"/>
    </row>
    <row r="720">
      <c r="A720" s="281"/>
      <c r="B720" s="282"/>
      <c r="C720" s="278"/>
      <c r="D720" s="284"/>
      <c r="E720" s="285"/>
      <c r="F720" s="271"/>
      <c r="G720" s="272"/>
      <c r="H720" s="273"/>
      <c r="I720" s="274"/>
      <c r="J720" s="6"/>
      <c r="K720" s="6"/>
      <c r="L720" s="6"/>
      <c r="M720" s="6"/>
      <c r="N720" s="6"/>
    </row>
    <row r="721">
      <c r="A721" s="281"/>
      <c r="B721" s="282"/>
      <c r="C721" s="278"/>
      <c r="D721" s="284"/>
      <c r="E721" s="285"/>
      <c r="F721" s="271"/>
      <c r="G721" s="272"/>
      <c r="H721" s="273"/>
      <c r="I721" s="274"/>
      <c r="J721" s="6"/>
      <c r="K721" s="6"/>
      <c r="L721" s="6"/>
      <c r="M721" s="6"/>
      <c r="N721" s="6"/>
    </row>
    <row r="722">
      <c r="A722" s="281"/>
      <c r="B722" s="282"/>
      <c r="C722" s="278"/>
      <c r="D722" s="284"/>
      <c r="E722" s="285"/>
      <c r="F722" s="271"/>
      <c r="G722" s="272"/>
      <c r="H722" s="273"/>
      <c r="I722" s="274"/>
      <c r="J722" s="6"/>
      <c r="K722" s="6"/>
      <c r="L722" s="6"/>
      <c r="M722" s="6"/>
      <c r="N722" s="6"/>
    </row>
    <row r="723">
      <c r="A723" s="281"/>
      <c r="B723" s="282"/>
      <c r="C723" s="278"/>
      <c r="D723" s="284"/>
      <c r="E723" s="285"/>
      <c r="F723" s="271"/>
      <c r="G723" s="272"/>
      <c r="H723" s="273"/>
      <c r="I723" s="274"/>
      <c r="J723" s="6"/>
      <c r="K723" s="6"/>
      <c r="L723" s="6"/>
      <c r="M723" s="6"/>
      <c r="N723" s="6"/>
    </row>
    <row r="724">
      <c r="A724" s="281"/>
      <c r="B724" s="282"/>
      <c r="C724" s="278"/>
      <c r="D724" s="284"/>
      <c r="E724" s="285"/>
      <c r="F724" s="271"/>
      <c r="G724" s="272"/>
      <c r="H724" s="273"/>
      <c r="I724" s="274"/>
      <c r="J724" s="6"/>
      <c r="K724" s="6"/>
      <c r="L724" s="6"/>
      <c r="M724" s="6"/>
      <c r="N724" s="6"/>
    </row>
    <row r="725">
      <c r="A725" s="281"/>
      <c r="B725" s="282"/>
      <c r="C725" s="278"/>
      <c r="D725" s="284"/>
      <c r="E725" s="285"/>
      <c r="F725" s="271"/>
      <c r="G725" s="272"/>
      <c r="H725" s="273"/>
      <c r="I725" s="274"/>
      <c r="J725" s="6"/>
      <c r="K725" s="6"/>
      <c r="L725" s="6"/>
      <c r="M725" s="6"/>
      <c r="N725" s="6"/>
    </row>
    <row r="726">
      <c r="A726" s="281"/>
      <c r="B726" s="282"/>
      <c r="C726" s="278"/>
      <c r="D726" s="284"/>
      <c r="E726" s="285"/>
      <c r="F726" s="271"/>
      <c r="G726" s="272"/>
      <c r="H726" s="273"/>
      <c r="I726" s="274"/>
      <c r="J726" s="6"/>
      <c r="K726" s="6"/>
      <c r="L726" s="6"/>
      <c r="M726" s="6"/>
      <c r="N726" s="6"/>
    </row>
    <row r="727">
      <c r="A727" s="281"/>
      <c r="B727" s="282"/>
      <c r="C727" s="278"/>
      <c r="D727" s="284"/>
      <c r="E727" s="285"/>
      <c r="F727" s="271"/>
      <c r="G727" s="272"/>
      <c r="H727" s="273"/>
      <c r="I727" s="274"/>
      <c r="J727" s="6"/>
      <c r="K727" s="6"/>
      <c r="L727" s="6"/>
      <c r="M727" s="6"/>
      <c r="N727" s="6"/>
    </row>
    <row r="728">
      <c r="A728" s="281"/>
      <c r="B728" s="282"/>
      <c r="C728" s="278"/>
      <c r="D728" s="284"/>
      <c r="E728" s="285"/>
      <c r="F728" s="271"/>
      <c r="G728" s="272"/>
      <c r="H728" s="273"/>
      <c r="I728" s="274"/>
      <c r="J728" s="6"/>
      <c r="K728" s="6"/>
      <c r="L728" s="6"/>
      <c r="M728" s="6"/>
      <c r="N728" s="6"/>
    </row>
    <row r="729">
      <c r="A729" s="281"/>
      <c r="B729" s="282"/>
      <c r="C729" s="278"/>
      <c r="D729" s="284"/>
      <c r="E729" s="285"/>
      <c r="F729" s="271"/>
      <c r="G729" s="272"/>
      <c r="H729" s="273"/>
      <c r="I729" s="274"/>
      <c r="J729" s="6"/>
      <c r="K729" s="6"/>
      <c r="L729" s="6"/>
      <c r="M729" s="6"/>
      <c r="N729" s="6"/>
    </row>
    <row r="730">
      <c r="A730" s="281"/>
      <c r="B730" s="282"/>
      <c r="C730" s="278"/>
      <c r="D730" s="284"/>
      <c r="E730" s="285"/>
      <c r="F730" s="271"/>
      <c r="G730" s="272"/>
      <c r="H730" s="273"/>
      <c r="I730" s="274"/>
      <c r="J730" s="6"/>
      <c r="K730" s="6"/>
      <c r="L730" s="6"/>
      <c r="M730" s="6"/>
      <c r="N730" s="6"/>
    </row>
    <row r="731">
      <c r="A731" s="281"/>
      <c r="B731" s="282"/>
      <c r="C731" s="278"/>
      <c r="D731" s="284"/>
      <c r="E731" s="285"/>
      <c r="F731" s="271"/>
      <c r="G731" s="272"/>
      <c r="H731" s="273"/>
      <c r="I731" s="274"/>
      <c r="J731" s="6"/>
      <c r="K731" s="6"/>
      <c r="L731" s="6"/>
      <c r="M731" s="6"/>
      <c r="N731" s="6"/>
    </row>
    <row r="732">
      <c r="A732" s="281"/>
      <c r="B732" s="282"/>
      <c r="C732" s="278"/>
      <c r="D732" s="284"/>
      <c r="E732" s="285"/>
      <c r="F732" s="271"/>
      <c r="G732" s="272"/>
      <c r="H732" s="273"/>
      <c r="I732" s="274"/>
      <c r="J732" s="6"/>
      <c r="K732" s="6"/>
      <c r="L732" s="6"/>
      <c r="M732" s="6"/>
      <c r="N732" s="6"/>
    </row>
    <row r="733">
      <c r="A733" s="281"/>
      <c r="B733" s="282"/>
      <c r="C733" s="278"/>
      <c r="D733" s="284"/>
      <c r="E733" s="285"/>
      <c r="F733" s="271"/>
      <c r="G733" s="272"/>
      <c r="H733" s="273"/>
      <c r="I733" s="274"/>
      <c r="J733" s="6"/>
      <c r="K733" s="6"/>
      <c r="L733" s="6"/>
      <c r="M733" s="6"/>
      <c r="N733" s="6"/>
    </row>
    <row r="734">
      <c r="A734" s="281"/>
      <c r="B734" s="282"/>
      <c r="C734" s="278"/>
      <c r="D734" s="284"/>
      <c r="E734" s="285"/>
      <c r="F734" s="271"/>
      <c r="G734" s="272"/>
      <c r="H734" s="273"/>
      <c r="I734" s="274"/>
      <c r="J734" s="6"/>
      <c r="K734" s="6"/>
      <c r="L734" s="6"/>
      <c r="M734" s="6"/>
      <c r="N734" s="6"/>
    </row>
    <row r="735">
      <c r="A735" s="281"/>
      <c r="B735" s="282"/>
      <c r="C735" s="278"/>
      <c r="D735" s="284"/>
      <c r="E735" s="285"/>
      <c r="F735" s="271"/>
      <c r="G735" s="272"/>
      <c r="H735" s="273"/>
      <c r="I735" s="274"/>
      <c r="J735" s="6"/>
      <c r="K735" s="6"/>
      <c r="L735" s="6"/>
      <c r="M735" s="6"/>
      <c r="N735" s="6"/>
    </row>
    <row r="736">
      <c r="A736" s="281"/>
      <c r="B736" s="282"/>
      <c r="C736" s="278"/>
      <c r="D736" s="284"/>
      <c r="E736" s="285"/>
      <c r="F736" s="271"/>
      <c r="G736" s="272"/>
      <c r="H736" s="273"/>
      <c r="I736" s="274"/>
      <c r="J736" s="6"/>
      <c r="K736" s="6"/>
      <c r="L736" s="6"/>
      <c r="M736" s="6"/>
      <c r="N736" s="6"/>
    </row>
    <row r="737">
      <c r="A737" s="281"/>
      <c r="B737" s="282"/>
      <c r="C737" s="278"/>
      <c r="D737" s="284"/>
      <c r="E737" s="285"/>
      <c r="F737" s="271"/>
      <c r="G737" s="272"/>
      <c r="H737" s="273"/>
      <c r="I737" s="274"/>
      <c r="J737" s="6"/>
      <c r="K737" s="6"/>
      <c r="L737" s="6"/>
      <c r="M737" s="6"/>
      <c r="N737" s="6"/>
    </row>
    <row r="738">
      <c r="A738" s="281"/>
      <c r="B738" s="282"/>
      <c r="C738" s="278"/>
      <c r="D738" s="284"/>
      <c r="E738" s="285"/>
      <c r="F738" s="271"/>
      <c r="G738" s="272"/>
      <c r="H738" s="273"/>
      <c r="I738" s="274"/>
      <c r="J738" s="6"/>
      <c r="K738" s="6"/>
      <c r="L738" s="6"/>
      <c r="M738" s="6"/>
      <c r="N738" s="6"/>
    </row>
    <row r="739">
      <c r="A739" s="281"/>
      <c r="B739" s="282"/>
      <c r="C739" s="278"/>
      <c r="D739" s="284"/>
      <c r="E739" s="285"/>
      <c r="F739" s="271"/>
      <c r="G739" s="272"/>
      <c r="H739" s="273"/>
      <c r="I739" s="274"/>
      <c r="J739" s="6"/>
      <c r="K739" s="6"/>
      <c r="L739" s="6"/>
      <c r="M739" s="6"/>
      <c r="N739" s="6"/>
    </row>
    <row r="740">
      <c r="A740" s="281"/>
      <c r="B740" s="282"/>
      <c r="C740" s="278"/>
      <c r="D740" s="284"/>
      <c r="E740" s="285"/>
      <c r="F740" s="271"/>
      <c r="G740" s="272"/>
      <c r="H740" s="273"/>
      <c r="I740" s="274"/>
      <c r="J740" s="6"/>
      <c r="K740" s="6"/>
      <c r="L740" s="6"/>
      <c r="M740" s="6"/>
      <c r="N740" s="6"/>
    </row>
    <row r="741">
      <c r="A741" s="281"/>
      <c r="B741" s="282"/>
      <c r="C741" s="278"/>
      <c r="D741" s="284"/>
      <c r="E741" s="285"/>
      <c r="F741" s="271"/>
      <c r="G741" s="272"/>
      <c r="H741" s="273"/>
      <c r="I741" s="274"/>
      <c r="J741" s="6"/>
      <c r="K741" s="6"/>
      <c r="L741" s="6"/>
      <c r="M741" s="6"/>
      <c r="N741" s="6"/>
    </row>
    <row r="742">
      <c r="A742" s="281"/>
      <c r="B742" s="282"/>
      <c r="C742" s="278"/>
      <c r="D742" s="284"/>
      <c r="E742" s="285"/>
      <c r="F742" s="271"/>
      <c r="G742" s="272"/>
      <c r="H742" s="273"/>
      <c r="I742" s="274"/>
      <c r="J742" s="6"/>
      <c r="K742" s="6"/>
      <c r="L742" s="6"/>
      <c r="M742" s="6"/>
      <c r="N742" s="6"/>
    </row>
    <row r="743">
      <c r="A743" s="281"/>
      <c r="B743" s="282"/>
      <c r="C743" s="278"/>
      <c r="D743" s="284"/>
      <c r="E743" s="285"/>
      <c r="F743" s="271"/>
      <c r="G743" s="272"/>
      <c r="H743" s="273"/>
      <c r="I743" s="274"/>
      <c r="J743" s="6"/>
      <c r="K743" s="6"/>
      <c r="L743" s="6"/>
      <c r="M743" s="6"/>
      <c r="N743" s="6"/>
    </row>
    <row r="744">
      <c r="A744" s="281"/>
      <c r="B744" s="282"/>
      <c r="C744" s="278"/>
      <c r="D744" s="284"/>
      <c r="E744" s="285"/>
      <c r="F744" s="271"/>
      <c r="G744" s="272"/>
      <c r="H744" s="273"/>
      <c r="I744" s="274"/>
      <c r="J744" s="6"/>
      <c r="K744" s="6"/>
      <c r="L744" s="6"/>
      <c r="M744" s="6"/>
      <c r="N744" s="6"/>
    </row>
    <row r="745">
      <c r="A745" s="281"/>
      <c r="B745" s="282"/>
      <c r="C745" s="278"/>
      <c r="D745" s="284"/>
      <c r="E745" s="285"/>
      <c r="F745" s="271"/>
      <c r="G745" s="272"/>
      <c r="H745" s="273"/>
      <c r="I745" s="274"/>
      <c r="J745" s="6"/>
      <c r="K745" s="6"/>
      <c r="L745" s="6"/>
      <c r="M745" s="6"/>
      <c r="N745" s="6"/>
    </row>
    <row r="746">
      <c r="A746" s="281"/>
      <c r="B746" s="282"/>
      <c r="C746" s="278"/>
      <c r="D746" s="284"/>
      <c r="E746" s="285"/>
      <c r="F746" s="271"/>
      <c r="G746" s="272"/>
      <c r="H746" s="273"/>
      <c r="I746" s="274"/>
      <c r="J746" s="6"/>
      <c r="K746" s="6"/>
      <c r="L746" s="6"/>
      <c r="M746" s="6"/>
      <c r="N746" s="6"/>
    </row>
    <row r="747">
      <c r="A747" s="281"/>
      <c r="B747" s="282"/>
      <c r="C747" s="278"/>
      <c r="D747" s="284"/>
      <c r="E747" s="285"/>
      <c r="F747" s="271"/>
      <c r="G747" s="272"/>
      <c r="H747" s="273"/>
      <c r="I747" s="274"/>
      <c r="J747" s="6"/>
      <c r="K747" s="6"/>
      <c r="L747" s="6"/>
      <c r="M747" s="6"/>
      <c r="N747" s="6"/>
    </row>
    <row r="748">
      <c r="A748" s="281"/>
      <c r="B748" s="282"/>
      <c r="C748" s="278"/>
      <c r="D748" s="284"/>
      <c r="E748" s="285"/>
      <c r="F748" s="271"/>
      <c r="G748" s="272"/>
      <c r="H748" s="273"/>
      <c r="I748" s="274"/>
      <c r="J748" s="6"/>
      <c r="K748" s="6"/>
      <c r="L748" s="6"/>
      <c r="M748" s="6"/>
      <c r="N748" s="6"/>
    </row>
    <row r="749">
      <c r="A749" s="281"/>
      <c r="B749" s="282"/>
      <c r="C749" s="278"/>
      <c r="D749" s="284"/>
      <c r="E749" s="285"/>
      <c r="F749" s="271"/>
      <c r="G749" s="272"/>
      <c r="H749" s="273"/>
      <c r="I749" s="274"/>
      <c r="J749" s="6"/>
      <c r="K749" s="6"/>
      <c r="L749" s="6"/>
      <c r="M749" s="6"/>
      <c r="N749" s="6"/>
    </row>
    <row r="750">
      <c r="A750" s="281"/>
      <c r="B750" s="282"/>
      <c r="C750" s="278"/>
      <c r="D750" s="284"/>
      <c r="E750" s="285"/>
      <c r="F750" s="271"/>
      <c r="G750" s="272"/>
      <c r="H750" s="273"/>
      <c r="I750" s="274"/>
      <c r="J750" s="6"/>
      <c r="K750" s="6"/>
      <c r="L750" s="6"/>
      <c r="M750" s="6"/>
      <c r="N750" s="6"/>
    </row>
    <row r="751">
      <c r="A751" s="281"/>
      <c r="B751" s="282"/>
      <c r="C751" s="278"/>
      <c r="D751" s="284"/>
      <c r="E751" s="285"/>
      <c r="F751" s="271"/>
      <c r="G751" s="272"/>
      <c r="H751" s="273"/>
      <c r="I751" s="274"/>
      <c r="J751" s="6"/>
      <c r="K751" s="6"/>
      <c r="L751" s="6"/>
      <c r="M751" s="6"/>
      <c r="N751" s="6"/>
    </row>
    <row r="752">
      <c r="A752" s="281"/>
      <c r="B752" s="282"/>
      <c r="C752" s="278"/>
      <c r="D752" s="284"/>
      <c r="E752" s="285"/>
      <c r="F752" s="271"/>
      <c r="G752" s="272"/>
      <c r="H752" s="273"/>
      <c r="I752" s="274"/>
      <c r="J752" s="6"/>
      <c r="K752" s="6"/>
      <c r="L752" s="6"/>
      <c r="M752" s="6"/>
      <c r="N752" s="6"/>
    </row>
    <row r="753">
      <c r="A753" s="281"/>
      <c r="B753" s="282"/>
      <c r="C753" s="278"/>
      <c r="D753" s="284"/>
      <c r="E753" s="285"/>
      <c r="F753" s="271"/>
      <c r="G753" s="272"/>
      <c r="H753" s="273"/>
      <c r="I753" s="274"/>
      <c r="J753" s="6"/>
      <c r="K753" s="6"/>
      <c r="L753" s="6"/>
      <c r="M753" s="6"/>
      <c r="N753" s="6"/>
    </row>
    <row r="754">
      <c r="A754" s="281"/>
      <c r="B754" s="282"/>
      <c r="C754" s="278"/>
      <c r="D754" s="284"/>
      <c r="E754" s="285"/>
      <c r="F754" s="271"/>
      <c r="G754" s="272"/>
      <c r="H754" s="273"/>
      <c r="I754" s="274"/>
      <c r="J754" s="6"/>
      <c r="K754" s="6"/>
      <c r="L754" s="6"/>
      <c r="M754" s="6"/>
      <c r="N754" s="6"/>
    </row>
    <row r="755">
      <c r="A755" s="281"/>
      <c r="B755" s="282"/>
      <c r="C755" s="278"/>
      <c r="D755" s="284"/>
      <c r="E755" s="285"/>
      <c r="F755" s="271"/>
      <c r="G755" s="272"/>
      <c r="H755" s="273"/>
      <c r="I755" s="274"/>
      <c r="J755" s="6"/>
      <c r="K755" s="6"/>
      <c r="L755" s="6"/>
      <c r="M755" s="6"/>
      <c r="N755" s="6"/>
    </row>
    <row r="756">
      <c r="A756" s="281"/>
      <c r="B756" s="282"/>
      <c r="C756" s="278"/>
      <c r="D756" s="284"/>
      <c r="E756" s="285"/>
      <c r="F756" s="271"/>
      <c r="G756" s="272"/>
      <c r="H756" s="273"/>
      <c r="I756" s="274"/>
      <c r="J756" s="6"/>
      <c r="K756" s="6"/>
      <c r="L756" s="6"/>
      <c r="M756" s="6"/>
      <c r="N756" s="6"/>
    </row>
    <row r="757">
      <c r="A757" s="281"/>
      <c r="B757" s="282"/>
      <c r="C757" s="278"/>
      <c r="D757" s="284"/>
      <c r="E757" s="285"/>
      <c r="F757" s="271"/>
      <c r="G757" s="272"/>
      <c r="H757" s="273"/>
      <c r="I757" s="274"/>
      <c r="J757" s="6"/>
      <c r="K757" s="6"/>
      <c r="L757" s="6"/>
      <c r="M757" s="6"/>
      <c r="N757" s="6"/>
    </row>
    <row r="758">
      <c r="A758" s="281"/>
      <c r="B758" s="282"/>
      <c r="C758" s="278"/>
      <c r="D758" s="284"/>
      <c r="E758" s="285"/>
      <c r="F758" s="271"/>
      <c r="G758" s="272"/>
      <c r="H758" s="273"/>
      <c r="I758" s="274"/>
      <c r="J758" s="6"/>
      <c r="K758" s="6"/>
      <c r="L758" s="6"/>
      <c r="M758" s="6"/>
      <c r="N758" s="6"/>
    </row>
    <row r="759">
      <c r="A759" s="281"/>
      <c r="B759" s="282"/>
      <c r="C759" s="278"/>
      <c r="D759" s="284"/>
      <c r="E759" s="285"/>
      <c r="F759" s="271"/>
      <c r="G759" s="272"/>
      <c r="H759" s="273"/>
      <c r="I759" s="274"/>
      <c r="J759" s="6"/>
      <c r="K759" s="6"/>
      <c r="L759" s="6"/>
      <c r="M759" s="6"/>
      <c r="N759" s="6"/>
    </row>
    <row r="760">
      <c r="A760" s="281"/>
      <c r="B760" s="282"/>
      <c r="C760" s="278"/>
      <c r="D760" s="284"/>
      <c r="E760" s="285"/>
      <c r="F760" s="271"/>
      <c r="G760" s="272"/>
      <c r="H760" s="273"/>
      <c r="I760" s="274"/>
      <c r="J760" s="6"/>
      <c r="K760" s="6"/>
      <c r="L760" s="6"/>
      <c r="M760" s="6"/>
      <c r="N760" s="6"/>
    </row>
    <row r="761">
      <c r="A761" s="281"/>
      <c r="B761" s="282"/>
      <c r="C761" s="278"/>
      <c r="D761" s="284"/>
      <c r="E761" s="285"/>
      <c r="F761" s="271"/>
      <c r="G761" s="272"/>
      <c r="H761" s="273"/>
      <c r="I761" s="274"/>
      <c r="J761" s="6"/>
      <c r="K761" s="6"/>
      <c r="L761" s="6"/>
      <c r="M761" s="6"/>
      <c r="N761" s="6"/>
    </row>
    <row r="762">
      <c r="A762" s="281"/>
      <c r="B762" s="282"/>
      <c r="C762" s="278"/>
      <c r="D762" s="284"/>
      <c r="E762" s="285"/>
      <c r="F762" s="271"/>
      <c r="G762" s="272"/>
      <c r="H762" s="273"/>
      <c r="I762" s="274"/>
      <c r="J762" s="6"/>
      <c r="K762" s="6"/>
      <c r="L762" s="6"/>
      <c r="M762" s="6"/>
      <c r="N762" s="6"/>
    </row>
    <row r="763">
      <c r="A763" s="281"/>
      <c r="B763" s="282"/>
      <c r="C763" s="278"/>
      <c r="D763" s="284"/>
      <c r="E763" s="285"/>
      <c r="F763" s="271"/>
      <c r="G763" s="272"/>
      <c r="H763" s="273"/>
      <c r="I763" s="274"/>
      <c r="J763" s="6"/>
      <c r="K763" s="6"/>
      <c r="L763" s="6"/>
      <c r="M763" s="6"/>
      <c r="N763" s="6"/>
    </row>
    <row r="764">
      <c r="A764" s="281"/>
      <c r="B764" s="282"/>
      <c r="C764" s="278"/>
      <c r="D764" s="284"/>
      <c r="E764" s="285"/>
      <c r="F764" s="271"/>
      <c r="G764" s="272"/>
      <c r="H764" s="273"/>
      <c r="I764" s="274"/>
      <c r="J764" s="6"/>
      <c r="K764" s="6"/>
      <c r="L764" s="6"/>
      <c r="M764" s="6"/>
      <c r="N764" s="6"/>
    </row>
    <row r="765">
      <c r="A765" s="281"/>
      <c r="B765" s="282"/>
      <c r="C765" s="278"/>
      <c r="D765" s="284"/>
      <c r="E765" s="285"/>
      <c r="F765" s="271"/>
      <c r="G765" s="272"/>
      <c r="H765" s="273"/>
      <c r="I765" s="274"/>
      <c r="J765" s="6"/>
      <c r="K765" s="6"/>
      <c r="L765" s="6"/>
      <c r="M765" s="6"/>
      <c r="N765" s="6"/>
    </row>
    <row r="766">
      <c r="A766" s="281"/>
      <c r="B766" s="282"/>
      <c r="C766" s="278"/>
      <c r="D766" s="284"/>
      <c r="E766" s="285"/>
      <c r="F766" s="271"/>
      <c r="G766" s="272"/>
      <c r="H766" s="273"/>
      <c r="I766" s="274"/>
      <c r="J766" s="6"/>
      <c r="K766" s="6"/>
      <c r="L766" s="6"/>
      <c r="M766" s="6"/>
      <c r="N766" s="6"/>
    </row>
    <row r="767">
      <c r="A767" s="281"/>
      <c r="B767" s="282"/>
      <c r="C767" s="278"/>
      <c r="D767" s="284"/>
      <c r="E767" s="285"/>
      <c r="F767" s="271"/>
      <c r="G767" s="272"/>
      <c r="H767" s="273"/>
      <c r="I767" s="274"/>
      <c r="J767" s="6"/>
      <c r="K767" s="6"/>
      <c r="L767" s="6"/>
      <c r="M767" s="6"/>
      <c r="N767" s="6"/>
    </row>
    <row r="768">
      <c r="A768" s="281"/>
      <c r="B768" s="282"/>
      <c r="C768" s="278"/>
      <c r="D768" s="284"/>
      <c r="E768" s="285"/>
      <c r="F768" s="271"/>
      <c r="G768" s="272"/>
      <c r="H768" s="273"/>
      <c r="I768" s="274"/>
      <c r="J768" s="6"/>
      <c r="K768" s="6"/>
      <c r="L768" s="6"/>
      <c r="M768" s="6"/>
      <c r="N768" s="6"/>
    </row>
    <row r="769">
      <c r="A769" s="281"/>
      <c r="B769" s="282"/>
      <c r="C769" s="278"/>
      <c r="D769" s="284"/>
      <c r="E769" s="285"/>
      <c r="F769" s="271"/>
      <c r="G769" s="272"/>
      <c r="H769" s="273"/>
      <c r="I769" s="274"/>
      <c r="J769" s="6"/>
      <c r="K769" s="6"/>
      <c r="L769" s="6"/>
      <c r="M769" s="6"/>
      <c r="N769" s="6"/>
    </row>
    <row r="770">
      <c r="A770" s="281"/>
      <c r="B770" s="282"/>
      <c r="C770" s="278"/>
      <c r="D770" s="284"/>
      <c r="E770" s="285"/>
      <c r="F770" s="271"/>
      <c r="G770" s="272"/>
      <c r="H770" s="273"/>
      <c r="I770" s="274"/>
      <c r="J770" s="6"/>
      <c r="K770" s="6"/>
      <c r="L770" s="6"/>
      <c r="M770" s="6"/>
      <c r="N770" s="6"/>
    </row>
    <row r="771">
      <c r="A771" s="281"/>
      <c r="B771" s="282"/>
      <c r="C771" s="278"/>
      <c r="D771" s="284"/>
      <c r="E771" s="285"/>
      <c r="F771" s="271"/>
      <c r="G771" s="272"/>
      <c r="H771" s="273"/>
      <c r="I771" s="274"/>
      <c r="J771" s="6"/>
      <c r="K771" s="6"/>
      <c r="L771" s="6"/>
      <c r="M771" s="6"/>
      <c r="N771" s="6"/>
    </row>
    <row r="772">
      <c r="A772" s="281"/>
      <c r="B772" s="282"/>
      <c r="C772" s="278"/>
      <c r="D772" s="284"/>
      <c r="E772" s="285"/>
      <c r="F772" s="271"/>
      <c r="G772" s="272"/>
      <c r="H772" s="273"/>
      <c r="I772" s="274"/>
      <c r="J772" s="6"/>
      <c r="K772" s="6"/>
      <c r="L772" s="6"/>
      <c r="M772" s="6"/>
      <c r="N772" s="6"/>
    </row>
    <row r="773">
      <c r="A773" s="281"/>
      <c r="B773" s="282"/>
      <c r="C773" s="278"/>
      <c r="D773" s="284"/>
      <c r="E773" s="285"/>
      <c r="F773" s="271"/>
      <c r="G773" s="272"/>
      <c r="H773" s="273"/>
      <c r="I773" s="274"/>
      <c r="J773" s="6"/>
      <c r="K773" s="6"/>
      <c r="L773" s="6"/>
      <c r="M773" s="6"/>
      <c r="N773" s="6"/>
    </row>
    <row r="774">
      <c r="A774" s="281"/>
      <c r="B774" s="282"/>
      <c r="C774" s="278"/>
      <c r="D774" s="284"/>
      <c r="E774" s="285"/>
      <c r="F774" s="271"/>
      <c r="G774" s="272"/>
      <c r="H774" s="273"/>
      <c r="I774" s="274"/>
      <c r="J774" s="6"/>
      <c r="K774" s="6"/>
      <c r="L774" s="6"/>
      <c r="M774" s="6"/>
      <c r="N774" s="6"/>
    </row>
    <row r="775">
      <c r="A775" s="281"/>
      <c r="B775" s="282"/>
      <c r="C775" s="278"/>
      <c r="D775" s="284"/>
      <c r="E775" s="285"/>
      <c r="F775" s="271"/>
      <c r="G775" s="272"/>
      <c r="H775" s="273"/>
      <c r="I775" s="274"/>
      <c r="J775" s="6"/>
      <c r="K775" s="6"/>
      <c r="L775" s="6"/>
      <c r="M775" s="6"/>
      <c r="N775" s="6"/>
    </row>
    <row r="776">
      <c r="A776" s="281"/>
      <c r="B776" s="282"/>
      <c r="C776" s="278"/>
      <c r="D776" s="284"/>
      <c r="E776" s="285"/>
      <c r="F776" s="271"/>
      <c r="G776" s="272"/>
      <c r="H776" s="273"/>
      <c r="I776" s="274"/>
      <c r="J776" s="6"/>
      <c r="K776" s="6"/>
      <c r="L776" s="6"/>
      <c r="M776" s="6"/>
      <c r="N776" s="6"/>
    </row>
    <row r="777">
      <c r="A777" s="281"/>
      <c r="B777" s="282"/>
      <c r="C777" s="278"/>
      <c r="D777" s="284"/>
      <c r="E777" s="285"/>
      <c r="F777" s="271"/>
      <c r="G777" s="272"/>
      <c r="H777" s="273"/>
      <c r="I777" s="274"/>
      <c r="J777" s="6"/>
      <c r="K777" s="6"/>
      <c r="L777" s="6"/>
      <c r="M777" s="6"/>
      <c r="N777" s="6"/>
    </row>
    <row r="778">
      <c r="A778" s="281"/>
      <c r="B778" s="282"/>
      <c r="C778" s="278"/>
      <c r="D778" s="284"/>
      <c r="E778" s="285"/>
      <c r="F778" s="271"/>
      <c r="G778" s="272"/>
      <c r="H778" s="273"/>
      <c r="I778" s="274"/>
      <c r="J778" s="6"/>
      <c r="K778" s="6"/>
      <c r="L778" s="6"/>
      <c r="M778" s="6"/>
      <c r="N778" s="6"/>
    </row>
    <row r="779">
      <c r="A779" s="281"/>
      <c r="B779" s="282"/>
      <c r="C779" s="278"/>
      <c r="D779" s="284"/>
      <c r="E779" s="285"/>
      <c r="F779" s="271"/>
      <c r="G779" s="272"/>
      <c r="H779" s="273"/>
      <c r="I779" s="274"/>
      <c r="J779" s="6"/>
      <c r="K779" s="6"/>
      <c r="L779" s="6"/>
      <c r="M779" s="6"/>
      <c r="N779" s="6"/>
    </row>
    <row r="780">
      <c r="A780" s="281"/>
      <c r="B780" s="282"/>
      <c r="C780" s="278"/>
      <c r="D780" s="284"/>
      <c r="E780" s="285"/>
      <c r="F780" s="271"/>
      <c r="G780" s="272"/>
      <c r="H780" s="273"/>
      <c r="I780" s="274"/>
      <c r="J780" s="6"/>
      <c r="K780" s="6"/>
      <c r="L780" s="6"/>
      <c r="M780" s="6"/>
      <c r="N780" s="6"/>
    </row>
    <row r="781">
      <c r="A781" s="281"/>
      <c r="B781" s="282"/>
      <c r="C781" s="278"/>
      <c r="D781" s="284"/>
      <c r="E781" s="285"/>
      <c r="F781" s="271"/>
      <c r="G781" s="272"/>
      <c r="H781" s="273"/>
      <c r="I781" s="274"/>
      <c r="J781" s="6"/>
      <c r="K781" s="6"/>
      <c r="L781" s="6"/>
      <c r="M781" s="6"/>
      <c r="N781" s="6"/>
    </row>
    <row r="782">
      <c r="A782" s="281"/>
      <c r="B782" s="282"/>
      <c r="C782" s="278"/>
      <c r="D782" s="284"/>
      <c r="E782" s="285"/>
      <c r="F782" s="271"/>
      <c r="G782" s="272"/>
      <c r="H782" s="273"/>
      <c r="I782" s="274"/>
      <c r="J782" s="6"/>
      <c r="K782" s="6"/>
      <c r="L782" s="6"/>
      <c r="M782" s="6"/>
      <c r="N782" s="6"/>
    </row>
    <row r="783">
      <c r="A783" s="281"/>
      <c r="B783" s="282"/>
      <c r="C783" s="278"/>
      <c r="D783" s="284"/>
      <c r="E783" s="285"/>
      <c r="F783" s="271"/>
      <c r="G783" s="272"/>
      <c r="H783" s="273"/>
      <c r="I783" s="274"/>
      <c r="J783" s="6"/>
      <c r="K783" s="6"/>
      <c r="L783" s="6"/>
      <c r="M783" s="6"/>
      <c r="N783" s="6"/>
    </row>
    <row r="784">
      <c r="A784" s="281"/>
      <c r="B784" s="282"/>
      <c r="C784" s="278"/>
      <c r="D784" s="284"/>
      <c r="E784" s="285"/>
      <c r="F784" s="271"/>
      <c r="G784" s="272"/>
      <c r="H784" s="273"/>
      <c r="I784" s="274"/>
      <c r="J784" s="6"/>
      <c r="K784" s="6"/>
      <c r="L784" s="6"/>
      <c r="M784" s="6"/>
      <c r="N784" s="6"/>
    </row>
    <row r="785">
      <c r="A785" s="281"/>
      <c r="B785" s="282"/>
      <c r="C785" s="278"/>
      <c r="D785" s="284"/>
      <c r="E785" s="285"/>
      <c r="F785" s="271"/>
      <c r="G785" s="272"/>
      <c r="H785" s="273"/>
      <c r="I785" s="274"/>
      <c r="J785" s="6"/>
      <c r="K785" s="6"/>
      <c r="L785" s="6"/>
      <c r="M785" s="6"/>
      <c r="N785" s="6"/>
    </row>
    <row r="786">
      <c r="A786" s="281"/>
      <c r="B786" s="282"/>
      <c r="C786" s="278"/>
      <c r="D786" s="284"/>
      <c r="E786" s="285"/>
      <c r="F786" s="271"/>
      <c r="G786" s="272"/>
      <c r="H786" s="273"/>
      <c r="I786" s="274"/>
      <c r="J786" s="6"/>
      <c r="K786" s="6"/>
      <c r="L786" s="6"/>
      <c r="M786" s="6"/>
      <c r="N786" s="6"/>
    </row>
    <row r="787">
      <c r="A787" s="281"/>
      <c r="B787" s="282"/>
      <c r="C787" s="278"/>
      <c r="D787" s="284"/>
      <c r="E787" s="285"/>
      <c r="F787" s="271"/>
      <c r="G787" s="272"/>
      <c r="H787" s="273"/>
      <c r="I787" s="274"/>
      <c r="J787" s="6"/>
      <c r="K787" s="6"/>
      <c r="L787" s="6"/>
      <c r="M787" s="6"/>
      <c r="N787" s="6"/>
    </row>
    <row r="788">
      <c r="A788" s="281"/>
      <c r="B788" s="282"/>
      <c r="C788" s="278"/>
      <c r="D788" s="284"/>
      <c r="E788" s="285"/>
      <c r="F788" s="271"/>
      <c r="G788" s="272"/>
      <c r="H788" s="273"/>
      <c r="I788" s="274"/>
      <c r="J788" s="6"/>
      <c r="K788" s="6"/>
      <c r="L788" s="6"/>
      <c r="M788" s="6"/>
      <c r="N788" s="6"/>
    </row>
    <row r="789">
      <c r="A789" s="281"/>
      <c r="B789" s="282"/>
      <c r="C789" s="278"/>
      <c r="D789" s="284"/>
      <c r="E789" s="285"/>
      <c r="F789" s="271"/>
      <c r="G789" s="272"/>
      <c r="H789" s="273"/>
      <c r="I789" s="274"/>
      <c r="J789" s="6"/>
      <c r="K789" s="6"/>
      <c r="L789" s="6"/>
      <c r="M789" s="6"/>
      <c r="N789" s="6"/>
    </row>
    <row r="790">
      <c r="A790" s="281"/>
      <c r="B790" s="282"/>
      <c r="C790" s="278"/>
      <c r="D790" s="284"/>
      <c r="E790" s="285"/>
      <c r="F790" s="271"/>
      <c r="G790" s="272"/>
      <c r="H790" s="273"/>
      <c r="I790" s="274"/>
      <c r="J790" s="6"/>
      <c r="K790" s="6"/>
      <c r="L790" s="6"/>
      <c r="M790" s="6"/>
      <c r="N790" s="6"/>
    </row>
    <row r="791">
      <c r="A791" s="281"/>
      <c r="B791" s="282"/>
      <c r="C791" s="278"/>
      <c r="D791" s="284"/>
      <c r="E791" s="285"/>
      <c r="F791" s="271"/>
      <c r="G791" s="272"/>
      <c r="H791" s="273"/>
      <c r="I791" s="274"/>
      <c r="J791" s="6"/>
      <c r="K791" s="6"/>
      <c r="L791" s="6"/>
      <c r="M791" s="6"/>
      <c r="N791" s="6"/>
    </row>
    <row r="792">
      <c r="A792" s="281"/>
      <c r="B792" s="282"/>
      <c r="C792" s="278"/>
      <c r="D792" s="284"/>
      <c r="E792" s="285"/>
      <c r="F792" s="271"/>
      <c r="G792" s="272"/>
      <c r="H792" s="273"/>
      <c r="I792" s="274"/>
      <c r="J792" s="6"/>
      <c r="K792" s="6"/>
      <c r="L792" s="6"/>
      <c r="M792" s="6"/>
      <c r="N792" s="6"/>
    </row>
    <row r="793">
      <c r="A793" s="281"/>
      <c r="B793" s="282"/>
      <c r="C793" s="278"/>
      <c r="D793" s="284"/>
      <c r="E793" s="285"/>
      <c r="F793" s="271"/>
      <c r="G793" s="272"/>
      <c r="H793" s="273"/>
      <c r="I793" s="274"/>
      <c r="J793" s="6"/>
      <c r="K793" s="6"/>
      <c r="L793" s="6"/>
      <c r="M793" s="6"/>
      <c r="N793" s="6"/>
    </row>
    <row r="794">
      <c r="A794" s="281"/>
      <c r="B794" s="282"/>
      <c r="C794" s="278"/>
      <c r="D794" s="284"/>
      <c r="E794" s="285"/>
      <c r="F794" s="271"/>
      <c r="G794" s="272"/>
      <c r="H794" s="273"/>
      <c r="I794" s="274"/>
      <c r="J794" s="6"/>
      <c r="K794" s="6"/>
      <c r="L794" s="6"/>
      <c r="M794" s="6"/>
      <c r="N794" s="6"/>
    </row>
    <row r="795">
      <c r="A795" s="281"/>
      <c r="B795" s="282"/>
      <c r="C795" s="278"/>
      <c r="D795" s="284"/>
      <c r="E795" s="285"/>
      <c r="F795" s="271"/>
      <c r="G795" s="272"/>
      <c r="H795" s="273"/>
      <c r="I795" s="274"/>
      <c r="J795" s="6"/>
      <c r="K795" s="6"/>
      <c r="L795" s="6"/>
      <c r="M795" s="6"/>
      <c r="N795" s="6"/>
    </row>
    <row r="796">
      <c r="A796" s="281"/>
      <c r="B796" s="282"/>
      <c r="C796" s="278"/>
      <c r="D796" s="284"/>
      <c r="E796" s="285"/>
      <c r="F796" s="271"/>
      <c r="G796" s="272"/>
      <c r="H796" s="273"/>
      <c r="I796" s="274"/>
      <c r="J796" s="6"/>
      <c r="K796" s="6"/>
      <c r="L796" s="6"/>
      <c r="M796" s="6"/>
      <c r="N796" s="6"/>
    </row>
    <row r="797">
      <c r="A797" s="281"/>
      <c r="B797" s="282"/>
      <c r="C797" s="278"/>
      <c r="D797" s="284"/>
      <c r="E797" s="285"/>
      <c r="F797" s="271"/>
      <c r="G797" s="272"/>
      <c r="H797" s="273"/>
      <c r="I797" s="274"/>
      <c r="J797" s="6"/>
      <c r="K797" s="6"/>
      <c r="L797" s="6"/>
      <c r="M797" s="6"/>
      <c r="N797" s="6"/>
    </row>
    <row r="798">
      <c r="A798" s="281"/>
      <c r="B798" s="282"/>
      <c r="C798" s="278"/>
      <c r="D798" s="284"/>
      <c r="E798" s="285"/>
      <c r="F798" s="271"/>
      <c r="G798" s="272"/>
      <c r="H798" s="273"/>
      <c r="I798" s="274"/>
      <c r="J798" s="6"/>
      <c r="K798" s="6"/>
      <c r="L798" s="6"/>
      <c r="M798" s="6"/>
      <c r="N798" s="6"/>
    </row>
    <row r="799">
      <c r="A799" s="281"/>
      <c r="B799" s="282"/>
      <c r="C799" s="278"/>
      <c r="D799" s="284"/>
      <c r="E799" s="285"/>
      <c r="F799" s="271"/>
      <c r="G799" s="272"/>
      <c r="H799" s="273"/>
      <c r="I799" s="274"/>
      <c r="J799" s="6"/>
      <c r="K799" s="6"/>
      <c r="L799" s="6"/>
      <c r="M799" s="6"/>
      <c r="N799" s="6"/>
    </row>
    <row r="800">
      <c r="A800" s="281"/>
      <c r="B800" s="282"/>
      <c r="C800" s="278"/>
      <c r="D800" s="284"/>
      <c r="E800" s="285"/>
      <c r="F800" s="271"/>
      <c r="G800" s="272"/>
      <c r="H800" s="273"/>
      <c r="I800" s="274"/>
      <c r="J800" s="6"/>
      <c r="K800" s="6"/>
      <c r="L800" s="6"/>
      <c r="M800" s="6"/>
      <c r="N800" s="6"/>
    </row>
    <row r="801">
      <c r="A801" s="281"/>
      <c r="B801" s="282"/>
      <c r="C801" s="278"/>
      <c r="D801" s="284"/>
      <c r="E801" s="285"/>
      <c r="F801" s="271"/>
      <c r="G801" s="272"/>
      <c r="H801" s="273"/>
      <c r="I801" s="274"/>
      <c r="J801" s="6"/>
      <c r="K801" s="6"/>
      <c r="L801" s="6"/>
      <c r="M801" s="6"/>
      <c r="N801" s="6"/>
    </row>
    <row r="802">
      <c r="A802" s="281"/>
      <c r="B802" s="282"/>
      <c r="C802" s="278"/>
      <c r="D802" s="284"/>
      <c r="E802" s="285"/>
      <c r="F802" s="271"/>
      <c r="G802" s="272"/>
      <c r="H802" s="273"/>
      <c r="I802" s="274"/>
      <c r="J802" s="6"/>
      <c r="K802" s="6"/>
      <c r="L802" s="6"/>
      <c r="M802" s="6"/>
      <c r="N802" s="6"/>
    </row>
    <row r="803">
      <c r="A803" s="281"/>
      <c r="B803" s="282"/>
      <c r="C803" s="278"/>
      <c r="D803" s="284"/>
      <c r="E803" s="285"/>
      <c r="F803" s="271"/>
      <c r="G803" s="272"/>
      <c r="H803" s="273"/>
      <c r="I803" s="274"/>
      <c r="J803" s="6"/>
      <c r="K803" s="6"/>
      <c r="L803" s="6"/>
      <c r="M803" s="6"/>
      <c r="N803" s="6"/>
    </row>
    <row r="804">
      <c r="A804" s="281"/>
      <c r="B804" s="282"/>
      <c r="C804" s="278"/>
      <c r="D804" s="284"/>
      <c r="E804" s="285"/>
      <c r="F804" s="271"/>
      <c r="G804" s="272"/>
      <c r="H804" s="273"/>
      <c r="I804" s="274"/>
      <c r="J804" s="6"/>
      <c r="K804" s="6"/>
      <c r="L804" s="6"/>
      <c r="M804" s="6"/>
      <c r="N804" s="6"/>
    </row>
    <row r="805">
      <c r="A805" s="281"/>
      <c r="B805" s="282"/>
      <c r="C805" s="278"/>
      <c r="D805" s="284"/>
      <c r="E805" s="285"/>
      <c r="F805" s="271"/>
      <c r="G805" s="272"/>
      <c r="H805" s="273"/>
      <c r="I805" s="274"/>
      <c r="J805" s="6"/>
      <c r="K805" s="6"/>
      <c r="L805" s="6"/>
      <c r="M805" s="6"/>
      <c r="N805" s="6"/>
    </row>
    <row r="806">
      <c r="A806" s="281"/>
      <c r="B806" s="282"/>
      <c r="C806" s="278"/>
      <c r="D806" s="284"/>
      <c r="E806" s="285"/>
      <c r="F806" s="271"/>
      <c r="G806" s="272"/>
      <c r="H806" s="273"/>
      <c r="I806" s="274"/>
      <c r="J806" s="6"/>
      <c r="K806" s="6"/>
      <c r="L806" s="6"/>
      <c r="M806" s="6"/>
      <c r="N806" s="6"/>
    </row>
    <row r="807">
      <c r="A807" s="281"/>
      <c r="B807" s="282"/>
      <c r="C807" s="278"/>
      <c r="D807" s="284"/>
      <c r="E807" s="285"/>
      <c r="F807" s="271"/>
      <c r="G807" s="272"/>
      <c r="H807" s="273"/>
      <c r="I807" s="274"/>
      <c r="J807" s="6"/>
      <c r="K807" s="6"/>
      <c r="L807" s="6"/>
      <c r="M807" s="6"/>
      <c r="N807" s="6"/>
    </row>
    <row r="808">
      <c r="A808" s="281"/>
      <c r="B808" s="282"/>
      <c r="C808" s="278"/>
      <c r="D808" s="284"/>
      <c r="E808" s="285"/>
      <c r="F808" s="271"/>
      <c r="G808" s="272"/>
      <c r="H808" s="273"/>
      <c r="I808" s="274"/>
      <c r="J808" s="6"/>
      <c r="K808" s="6"/>
      <c r="L808" s="6"/>
      <c r="M808" s="6"/>
      <c r="N808" s="6"/>
    </row>
    <row r="809">
      <c r="A809" s="281"/>
      <c r="B809" s="282"/>
      <c r="C809" s="278"/>
      <c r="D809" s="284"/>
      <c r="E809" s="285"/>
      <c r="F809" s="271"/>
      <c r="G809" s="272"/>
      <c r="H809" s="273"/>
      <c r="I809" s="274"/>
      <c r="J809" s="6"/>
      <c r="K809" s="6"/>
      <c r="L809" s="6"/>
      <c r="M809" s="6"/>
      <c r="N809" s="6"/>
    </row>
    <row r="810">
      <c r="A810" s="281"/>
      <c r="B810" s="282"/>
      <c r="C810" s="278"/>
      <c r="D810" s="284"/>
      <c r="E810" s="285"/>
      <c r="F810" s="271"/>
      <c r="G810" s="272"/>
      <c r="H810" s="273"/>
      <c r="I810" s="274"/>
      <c r="J810" s="6"/>
      <c r="K810" s="6"/>
      <c r="L810" s="6"/>
      <c r="M810" s="6"/>
      <c r="N810" s="6"/>
    </row>
    <row r="811">
      <c r="A811" s="281"/>
      <c r="B811" s="282"/>
      <c r="C811" s="278"/>
      <c r="D811" s="284"/>
      <c r="E811" s="285"/>
      <c r="F811" s="271"/>
      <c r="G811" s="272"/>
      <c r="H811" s="273"/>
      <c r="I811" s="274"/>
      <c r="J811" s="6"/>
      <c r="K811" s="6"/>
      <c r="L811" s="6"/>
      <c r="M811" s="6"/>
      <c r="N811" s="6"/>
    </row>
    <row r="812">
      <c r="A812" s="281"/>
      <c r="B812" s="282"/>
      <c r="C812" s="278"/>
      <c r="D812" s="284"/>
      <c r="E812" s="285"/>
      <c r="F812" s="271"/>
      <c r="G812" s="272"/>
      <c r="H812" s="273"/>
      <c r="I812" s="274"/>
      <c r="J812" s="6"/>
      <c r="K812" s="6"/>
      <c r="L812" s="6"/>
      <c r="M812" s="6"/>
      <c r="N812" s="6"/>
    </row>
    <row r="813">
      <c r="A813" s="281"/>
      <c r="B813" s="282"/>
      <c r="C813" s="278"/>
      <c r="D813" s="284"/>
      <c r="E813" s="285"/>
      <c r="F813" s="271"/>
      <c r="G813" s="272"/>
      <c r="H813" s="273"/>
      <c r="I813" s="274"/>
      <c r="J813" s="6"/>
      <c r="K813" s="6"/>
      <c r="L813" s="6"/>
      <c r="M813" s="6"/>
      <c r="N813" s="6"/>
    </row>
    <row r="814">
      <c r="A814" s="281"/>
      <c r="B814" s="282"/>
      <c r="C814" s="278"/>
      <c r="D814" s="284"/>
      <c r="E814" s="285"/>
      <c r="F814" s="271"/>
      <c r="G814" s="272"/>
      <c r="H814" s="273"/>
      <c r="I814" s="274"/>
      <c r="J814" s="6"/>
      <c r="K814" s="6"/>
      <c r="L814" s="6"/>
      <c r="M814" s="6"/>
      <c r="N814" s="6"/>
    </row>
    <row r="815">
      <c r="A815" s="281"/>
      <c r="B815" s="282"/>
      <c r="C815" s="278"/>
      <c r="D815" s="284"/>
      <c r="E815" s="285"/>
      <c r="F815" s="271"/>
      <c r="G815" s="272"/>
      <c r="H815" s="273"/>
      <c r="I815" s="274"/>
      <c r="J815" s="6"/>
      <c r="K815" s="6"/>
      <c r="L815" s="6"/>
      <c r="M815" s="6"/>
      <c r="N815" s="6"/>
    </row>
    <row r="816">
      <c r="A816" s="281"/>
      <c r="B816" s="282"/>
      <c r="C816" s="278"/>
      <c r="D816" s="284"/>
      <c r="E816" s="285"/>
      <c r="F816" s="271"/>
      <c r="G816" s="272"/>
      <c r="H816" s="273"/>
      <c r="I816" s="274"/>
      <c r="J816" s="6"/>
      <c r="K816" s="6"/>
      <c r="L816" s="6"/>
      <c r="M816" s="6"/>
      <c r="N816" s="6"/>
    </row>
    <row r="817">
      <c r="A817" s="281"/>
      <c r="B817" s="282"/>
      <c r="C817" s="278"/>
      <c r="D817" s="284"/>
      <c r="E817" s="285"/>
      <c r="F817" s="271"/>
      <c r="G817" s="272"/>
      <c r="H817" s="273"/>
      <c r="I817" s="274"/>
      <c r="J817" s="6"/>
      <c r="K817" s="6"/>
      <c r="L817" s="6"/>
      <c r="M817" s="6"/>
      <c r="N817" s="6"/>
    </row>
    <row r="818">
      <c r="A818" s="281"/>
      <c r="B818" s="282"/>
      <c r="C818" s="278"/>
      <c r="D818" s="284"/>
      <c r="E818" s="285"/>
      <c r="F818" s="271"/>
      <c r="G818" s="272"/>
      <c r="H818" s="273"/>
      <c r="I818" s="274"/>
      <c r="J818" s="6"/>
      <c r="K818" s="6"/>
      <c r="L818" s="6"/>
      <c r="M818" s="6"/>
      <c r="N818" s="6"/>
    </row>
    <row r="819">
      <c r="A819" s="281"/>
      <c r="B819" s="282"/>
      <c r="C819" s="278"/>
      <c r="D819" s="284"/>
      <c r="E819" s="285"/>
      <c r="F819" s="271"/>
      <c r="G819" s="272"/>
      <c r="H819" s="273"/>
      <c r="I819" s="274"/>
      <c r="J819" s="6"/>
      <c r="K819" s="6"/>
      <c r="L819" s="6"/>
      <c r="M819" s="6"/>
      <c r="N819" s="6"/>
    </row>
    <row r="820">
      <c r="A820" s="281"/>
      <c r="B820" s="282"/>
      <c r="C820" s="278"/>
      <c r="D820" s="284"/>
      <c r="E820" s="285"/>
      <c r="F820" s="271"/>
      <c r="G820" s="272"/>
      <c r="H820" s="273"/>
      <c r="I820" s="274"/>
      <c r="J820" s="6"/>
      <c r="K820" s="6"/>
      <c r="L820" s="6"/>
      <c r="M820" s="6"/>
      <c r="N820" s="6"/>
    </row>
    <row r="821">
      <c r="A821" s="281"/>
      <c r="B821" s="282"/>
      <c r="C821" s="278"/>
      <c r="D821" s="284"/>
      <c r="E821" s="285"/>
      <c r="F821" s="271"/>
      <c r="G821" s="272"/>
      <c r="H821" s="273"/>
      <c r="I821" s="274"/>
      <c r="J821" s="6"/>
      <c r="K821" s="6"/>
      <c r="L821" s="6"/>
      <c r="M821" s="6"/>
      <c r="N821" s="6"/>
    </row>
    <row r="822">
      <c r="A822" s="281"/>
      <c r="B822" s="282"/>
      <c r="C822" s="278"/>
      <c r="D822" s="284"/>
      <c r="E822" s="285"/>
      <c r="F822" s="271"/>
      <c r="G822" s="272"/>
      <c r="H822" s="273"/>
      <c r="I822" s="274"/>
      <c r="J822" s="6"/>
      <c r="K822" s="6"/>
      <c r="L822" s="6"/>
      <c r="M822" s="6"/>
      <c r="N822" s="6"/>
    </row>
    <row r="823">
      <c r="A823" s="281"/>
      <c r="B823" s="282"/>
      <c r="C823" s="278"/>
      <c r="D823" s="284"/>
      <c r="E823" s="285"/>
      <c r="F823" s="271"/>
      <c r="G823" s="272"/>
      <c r="H823" s="273"/>
      <c r="I823" s="274"/>
      <c r="J823" s="6"/>
      <c r="K823" s="6"/>
      <c r="L823" s="6"/>
      <c r="M823" s="6"/>
      <c r="N823" s="6"/>
    </row>
    <row r="824">
      <c r="A824" s="281"/>
      <c r="B824" s="282"/>
      <c r="C824" s="278"/>
      <c r="D824" s="284"/>
      <c r="E824" s="285"/>
      <c r="F824" s="271"/>
      <c r="G824" s="272"/>
      <c r="H824" s="273"/>
      <c r="I824" s="274"/>
      <c r="J824" s="6"/>
      <c r="K824" s="6"/>
      <c r="L824" s="6"/>
      <c r="M824" s="6"/>
      <c r="N824" s="6"/>
    </row>
    <row r="825">
      <c r="A825" s="281"/>
      <c r="B825" s="282"/>
      <c r="C825" s="278"/>
      <c r="D825" s="284"/>
      <c r="E825" s="285"/>
      <c r="F825" s="271"/>
      <c r="G825" s="272"/>
      <c r="H825" s="273"/>
      <c r="I825" s="274"/>
      <c r="J825" s="6"/>
      <c r="K825" s="6"/>
      <c r="L825" s="6"/>
      <c r="M825" s="6"/>
      <c r="N825" s="6"/>
    </row>
    <row r="826">
      <c r="A826" s="281"/>
      <c r="B826" s="282"/>
      <c r="C826" s="278"/>
      <c r="D826" s="284"/>
      <c r="E826" s="285"/>
      <c r="F826" s="271"/>
      <c r="G826" s="272"/>
      <c r="H826" s="273"/>
      <c r="I826" s="274"/>
      <c r="J826" s="6"/>
      <c r="K826" s="6"/>
      <c r="L826" s="6"/>
      <c r="M826" s="6"/>
      <c r="N826" s="6"/>
    </row>
    <row r="827">
      <c r="A827" s="281"/>
      <c r="B827" s="282"/>
      <c r="C827" s="278"/>
      <c r="D827" s="284"/>
      <c r="E827" s="285"/>
      <c r="F827" s="271"/>
      <c r="G827" s="272"/>
      <c r="H827" s="273"/>
      <c r="I827" s="274"/>
      <c r="J827" s="6"/>
      <c r="K827" s="6"/>
      <c r="L827" s="6"/>
      <c r="M827" s="6"/>
      <c r="N827" s="6"/>
    </row>
    <row r="828">
      <c r="A828" s="281"/>
      <c r="B828" s="282"/>
      <c r="C828" s="278"/>
      <c r="D828" s="284"/>
      <c r="E828" s="285"/>
      <c r="F828" s="271"/>
      <c r="G828" s="272"/>
      <c r="H828" s="273"/>
      <c r="I828" s="274"/>
      <c r="J828" s="6"/>
      <c r="K828" s="6"/>
      <c r="L828" s="6"/>
      <c r="M828" s="6"/>
      <c r="N828" s="6"/>
    </row>
    <row r="829">
      <c r="A829" s="281"/>
      <c r="B829" s="282"/>
      <c r="C829" s="278"/>
      <c r="D829" s="284"/>
      <c r="E829" s="285"/>
      <c r="F829" s="271"/>
      <c r="G829" s="272"/>
      <c r="H829" s="273"/>
      <c r="I829" s="274"/>
      <c r="J829" s="6"/>
      <c r="K829" s="6"/>
      <c r="L829" s="6"/>
      <c r="M829" s="6"/>
      <c r="N829" s="6"/>
    </row>
    <row r="830">
      <c r="A830" s="281"/>
      <c r="B830" s="282"/>
      <c r="C830" s="278"/>
      <c r="D830" s="284"/>
      <c r="E830" s="285"/>
      <c r="F830" s="271"/>
      <c r="G830" s="272"/>
      <c r="H830" s="273"/>
      <c r="I830" s="274"/>
      <c r="J830" s="6"/>
      <c r="K830" s="6"/>
      <c r="L830" s="6"/>
      <c r="M830" s="6"/>
      <c r="N830" s="6"/>
    </row>
    <row r="831">
      <c r="A831" s="281"/>
      <c r="B831" s="282"/>
      <c r="C831" s="278"/>
      <c r="D831" s="284"/>
      <c r="E831" s="285"/>
      <c r="F831" s="271"/>
      <c r="G831" s="272"/>
      <c r="H831" s="273"/>
      <c r="I831" s="274"/>
      <c r="J831" s="6"/>
      <c r="K831" s="6"/>
      <c r="L831" s="6"/>
      <c r="M831" s="6"/>
      <c r="N831" s="6"/>
    </row>
    <row r="832">
      <c r="A832" s="281"/>
      <c r="B832" s="282"/>
      <c r="C832" s="278"/>
      <c r="D832" s="284"/>
      <c r="E832" s="285"/>
      <c r="F832" s="271"/>
      <c r="G832" s="272"/>
      <c r="H832" s="273"/>
      <c r="I832" s="274"/>
      <c r="J832" s="6"/>
      <c r="K832" s="6"/>
      <c r="L832" s="6"/>
      <c r="M832" s="6"/>
      <c r="N832" s="6"/>
    </row>
    <row r="833">
      <c r="A833" s="281"/>
      <c r="B833" s="282"/>
      <c r="C833" s="278"/>
      <c r="D833" s="284"/>
      <c r="E833" s="285"/>
      <c r="F833" s="271"/>
      <c r="G833" s="272"/>
      <c r="H833" s="273"/>
      <c r="I833" s="274"/>
      <c r="J833" s="6"/>
      <c r="K833" s="6"/>
      <c r="L833" s="6"/>
      <c r="M833" s="6"/>
      <c r="N833" s="6"/>
    </row>
    <row r="834">
      <c r="A834" s="281"/>
      <c r="B834" s="282"/>
      <c r="C834" s="278"/>
      <c r="D834" s="284"/>
      <c r="E834" s="285"/>
      <c r="F834" s="271"/>
      <c r="G834" s="272"/>
      <c r="H834" s="273"/>
      <c r="I834" s="274"/>
      <c r="J834" s="6"/>
      <c r="K834" s="6"/>
      <c r="L834" s="6"/>
      <c r="M834" s="6"/>
      <c r="N834" s="6"/>
    </row>
    <row r="835">
      <c r="A835" s="281"/>
      <c r="B835" s="282"/>
      <c r="C835" s="278"/>
      <c r="D835" s="284"/>
      <c r="E835" s="285"/>
      <c r="F835" s="271"/>
      <c r="G835" s="272"/>
      <c r="H835" s="273"/>
      <c r="I835" s="274"/>
      <c r="J835" s="6"/>
      <c r="K835" s="6"/>
      <c r="L835" s="6"/>
      <c r="M835" s="6"/>
      <c r="N835" s="6"/>
    </row>
    <row r="836">
      <c r="A836" s="281"/>
      <c r="B836" s="282"/>
      <c r="C836" s="278"/>
      <c r="D836" s="284"/>
      <c r="E836" s="285"/>
      <c r="F836" s="271"/>
      <c r="G836" s="272"/>
      <c r="H836" s="273"/>
      <c r="I836" s="274"/>
      <c r="J836" s="6"/>
      <c r="K836" s="6"/>
      <c r="L836" s="6"/>
      <c r="M836" s="6"/>
      <c r="N836" s="6"/>
    </row>
    <row r="837">
      <c r="A837" s="281"/>
      <c r="B837" s="282"/>
      <c r="C837" s="278"/>
      <c r="D837" s="284"/>
      <c r="E837" s="285"/>
      <c r="F837" s="271"/>
      <c r="G837" s="272"/>
      <c r="H837" s="273"/>
      <c r="I837" s="274"/>
      <c r="J837" s="6"/>
      <c r="K837" s="6"/>
      <c r="L837" s="6"/>
      <c r="M837" s="6"/>
      <c r="N837" s="6"/>
    </row>
    <row r="838">
      <c r="A838" s="281"/>
      <c r="B838" s="282"/>
      <c r="C838" s="278"/>
      <c r="D838" s="284"/>
      <c r="E838" s="285"/>
      <c r="F838" s="271"/>
      <c r="G838" s="272"/>
      <c r="H838" s="273"/>
      <c r="I838" s="274"/>
      <c r="J838" s="6"/>
      <c r="K838" s="6"/>
      <c r="L838" s="6"/>
      <c r="M838" s="6"/>
      <c r="N838" s="6"/>
    </row>
    <row r="839">
      <c r="A839" s="281"/>
      <c r="B839" s="282"/>
      <c r="C839" s="278"/>
      <c r="D839" s="284"/>
      <c r="E839" s="285"/>
      <c r="F839" s="271"/>
      <c r="G839" s="272"/>
      <c r="H839" s="273"/>
      <c r="I839" s="274"/>
      <c r="J839" s="6"/>
      <c r="K839" s="6"/>
      <c r="L839" s="6"/>
      <c r="M839" s="6"/>
      <c r="N839" s="6"/>
    </row>
    <row r="840">
      <c r="A840" s="281"/>
      <c r="B840" s="282"/>
      <c r="C840" s="278"/>
      <c r="D840" s="284"/>
      <c r="E840" s="285"/>
      <c r="F840" s="271"/>
      <c r="G840" s="272"/>
      <c r="H840" s="273"/>
      <c r="I840" s="274"/>
      <c r="J840" s="6"/>
      <c r="K840" s="6"/>
      <c r="L840" s="6"/>
      <c r="M840" s="6"/>
      <c r="N840" s="6"/>
    </row>
    <row r="841">
      <c r="A841" s="281"/>
      <c r="B841" s="282"/>
      <c r="C841" s="278"/>
      <c r="D841" s="284"/>
      <c r="E841" s="285"/>
      <c r="F841" s="271"/>
      <c r="G841" s="272"/>
      <c r="H841" s="273"/>
      <c r="I841" s="274"/>
      <c r="J841" s="6"/>
      <c r="K841" s="6"/>
      <c r="L841" s="6"/>
      <c r="M841" s="6"/>
      <c r="N841" s="6"/>
    </row>
    <row r="842">
      <c r="A842" s="281"/>
      <c r="B842" s="282"/>
      <c r="C842" s="278"/>
      <c r="D842" s="284"/>
      <c r="E842" s="285"/>
      <c r="F842" s="271"/>
      <c r="G842" s="272"/>
      <c r="H842" s="273"/>
      <c r="I842" s="274"/>
      <c r="J842" s="6"/>
      <c r="K842" s="6"/>
      <c r="L842" s="6"/>
      <c r="M842" s="6"/>
      <c r="N842" s="6"/>
    </row>
    <row r="843">
      <c r="A843" s="281"/>
      <c r="B843" s="282"/>
      <c r="C843" s="278"/>
      <c r="D843" s="284"/>
      <c r="E843" s="285"/>
      <c r="F843" s="271"/>
      <c r="G843" s="272"/>
      <c r="H843" s="273"/>
      <c r="I843" s="274"/>
      <c r="J843" s="6"/>
      <c r="K843" s="6"/>
      <c r="L843" s="6"/>
      <c r="M843" s="6"/>
      <c r="N843" s="6"/>
    </row>
    <row r="844">
      <c r="A844" s="281"/>
      <c r="B844" s="282"/>
      <c r="C844" s="278"/>
      <c r="D844" s="284"/>
      <c r="E844" s="285"/>
      <c r="F844" s="271"/>
      <c r="G844" s="272"/>
      <c r="H844" s="273"/>
      <c r="I844" s="274"/>
      <c r="J844" s="6"/>
      <c r="K844" s="6"/>
      <c r="L844" s="6"/>
      <c r="M844" s="6"/>
      <c r="N844" s="6"/>
    </row>
    <row r="845">
      <c r="A845" s="281"/>
      <c r="B845" s="282"/>
      <c r="C845" s="278"/>
      <c r="D845" s="284"/>
      <c r="E845" s="285"/>
      <c r="F845" s="271"/>
      <c r="G845" s="272"/>
      <c r="H845" s="273"/>
      <c r="I845" s="274"/>
      <c r="J845" s="6"/>
      <c r="K845" s="6"/>
      <c r="L845" s="6"/>
      <c r="M845" s="6"/>
      <c r="N845" s="6"/>
    </row>
    <row r="846">
      <c r="A846" s="281"/>
      <c r="B846" s="282"/>
      <c r="C846" s="278"/>
      <c r="D846" s="284"/>
      <c r="E846" s="285"/>
      <c r="F846" s="271"/>
      <c r="G846" s="272"/>
      <c r="H846" s="273"/>
      <c r="I846" s="274"/>
      <c r="J846" s="6"/>
      <c r="K846" s="6"/>
      <c r="L846" s="6"/>
      <c r="M846" s="6"/>
      <c r="N846" s="6"/>
    </row>
    <row r="847">
      <c r="A847" s="281"/>
      <c r="B847" s="282"/>
      <c r="C847" s="278"/>
      <c r="D847" s="284"/>
      <c r="E847" s="285"/>
      <c r="F847" s="271"/>
      <c r="G847" s="272"/>
      <c r="H847" s="273"/>
      <c r="I847" s="274"/>
      <c r="J847" s="6"/>
      <c r="K847" s="6"/>
      <c r="L847" s="6"/>
      <c r="M847" s="6"/>
      <c r="N847" s="6"/>
    </row>
    <row r="848">
      <c r="A848" s="281"/>
      <c r="B848" s="282"/>
      <c r="C848" s="278"/>
      <c r="D848" s="284"/>
      <c r="E848" s="285"/>
      <c r="F848" s="271"/>
      <c r="G848" s="272"/>
      <c r="H848" s="273"/>
      <c r="I848" s="274"/>
      <c r="J848" s="6"/>
      <c r="K848" s="6"/>
      <c r="L848" s="6"/>
      <c r="M848" s="6"/>
      <c r="N848" s="6"/>
    </row>
    <row r="849">
      <c r="A849" s="281"/>
      <c r="B849" s="282"/>
      <c r="C849" s="278"/>
      <c r="D849" s="284"/>
      <c r="E849" s="285"/>
      <c r="F849" s="271"/>
      <c r="G849" s="272"/>
      <c r="H849" s="273"/>
      <c r="I849" s="274"/>
      <c r="J849" s="6"/>
      <c r="K849" s="6"/>
      <c r="L849" s="6"/>
      <c r="M849" s="6"/>
      <c r="N849" s="6"/>
    </row>
    <row r="850">
      <c r="A850" s="281"/>
      <c r="B850" s="282"/>
      <c r="C850" s="278"/>
      <c r="D850" s="284"/>
      <c r="E850" s="285"/>
      <c r="F850" s="271"/>
      <c r="G850" s="272"/>
      <c r="H850" s="273"/>
      <c r="I850" s="274"/>
      <c r="J850" s="6"/>
      <c r="K850" s="6"/>
      <c r="L850" s="6"/>
      <c r="M850" s="6"/>
      <c r="N850" s="6"/>
    </row>
    <row r="851">
      <c r="A851" s="281"/>
      <c r="B851" s="282"/>
      <c r="C851" s="278"/>
      <c r="D851" s="284"/>
      <c r="E851" s="285"/>
      <c r="F851" s="271"/>
      <c r="G851" s="272"/>
      <c r="H851" s="273"/>
      <c r="I851" s="274"/>
      <c r="J851" s="6"/>
      <c r="K851" s="6"/>
      <c r="L851" s="6"/>
      <c r="M851" s="6"/>
      <c r="N851" s="6"/>
    </row>
    <row r="852">
      <c r="A852" s="281"/>
      <c r="B852" s="282"/>
      <c r="C852" s="278"/>
      <c r="D852" s="284"/>
      <c r="E852" s="285"/>
      <c r="F852" s="271"/>
      <c r="G852" s="272"/>
      <c r="H852" s="273"/>
      <c r="I852" s="274"/>
      <c r="J852" s="6"/>
      <c r="K852" s="6"/>
      <c r="L852" s="6"/>
      <c r="M852" s="6"/>
      <c r="N852" s="6"/>
    </row>
    <row r="853">
      <c r="A853" s="281"/>
      <c r="B853" s="282"/>
      <c r="C853" s="278"/>
      <c r="D853" s="284"/>
      <c r="E853" s="285"/>
      <c r="F853" s="271"/>
      <c r="G853" s="272"/>
      <c r="H853" s="273"/>
      <c r="I853" s="274"/>
      <c r="J853" s="6"/>
      <c r="K853" s="6"/>
      <c r="L853" s="6"/>
      <c r="M853" s="6"/>
      <c r="N853" s="6"/>
    </row>
    <row r="854">
      <c r="A854" s="281"/>
      <c r="B854" s="282"/>
      <c r="C854" s="278"/>
      <c r="D854" s="284"/>
      <c r="E854" s="285"/>
      <c r="F854" s="271"/>
      <c r="G854" s="272"/>
      <c r="H854" s="273"/>
      <c r="I854" s="274"/>
      <c r="J854" s="6"/>
      <c r="K854" s="6"/>
      <c r="L854" s="6"/>
      <c r="M854" s="6"/>
      <c r="N854" s="6"/>
    </row>
    <row r="855">
      <c r="A855" s="281"/>
      <c r="B855" s="282"/>
      <c r="C855" s="278"/>
      <c r="D855" s="284"/>
      <c r="E855" s="285"/>
      <c r="F855" s="271"/>
      <c r="G855" s="272"/>
      <c r="H855" s="273"/>
      <c r="I855" s="274"/>
      <c r="J855" s="6"/>
      <c r="K855" s="6"/>
      <c r="L855" s="6"/>
      <c r="M855" s="6"/>
      <c r="N855" s="6"/>
    </row>
    <row r="856">
      <c r="A856" s="281"/>
      <c r="B856" s="282"/>
      <c r="C856" s="278"/>
      <c r="D856" s="284"/>
      <c r="E856" s="285"/>
      <c r="F856" s="271"/>
      <c r="G856" s="272"/>
      <c r="H856" s="273"/>
      <c r="I856" s="274"/>
      <c r="J856" s="6"/>
      <c r="K856" s="6"/>
      <c r="L856" s="6"/>
      <c r="M856" s="6"/>
      <c r="N856" s="6"/>
    </row>
    <row r="857">
      <c r="A857" s="281"/>
      <c r="B857" s="282"/>
      <c r="C857" s="278"/>
      <c r="D857" s="284"/>
      <c r="E857" s="285"/>
      <c r="F857" s="271"/>
      <c r="G857" s="272"/>
      <c r="H857" s="273"/>
      <c r="I857" s="274"/>
      <c r="J857" s="6"/>
      <c r="K857" s="6"/>
      <c r="L857" s="6"/>
      <c r="M857" s="6"/>
      <c r="N857" s="6"/>
    </row>
    <row r="858">
      <c r="A858" s="281"/>
      <c r="B858" s="282"/>
      <c r="C858" s="278"/>
      <c r="D858" s="284"/>
      <c r="E858" s="285"/>
      <c r="F858" s="271"/>
      <c r="G858" s="272"/>
      <c r="H858" s="273"/>
      <c r="I858" s="274"/>
      <c r="J858" s="6"/>
      <c r="K858" s="6"/>
      <c r="L858" s="6"/>
      <c r="M858" s="6"/>
      <c r="N858" s="6"/>
    </row>
    <row r="859">
      <c r="A859" s="281"/>
      <c r="B859" s="282"/>
      <c r="C859" s="278"/>
      <c r="D859" s="284"/>
      <c r="E859" s="285"/>
      <c r="F859" s="271"/>
      <c r="G859" s="272"/>
      <c r="H859" s="273"/>
      <c r="I859" s="274"/>
      <c r="J859" s="6"/>
      <c r="K859" s="6"/>
      <c r="L859" s="6"/>
      <c r="M859" s="6"/>
      <c r="N859" s="6"/>
    </row>
    <row r="860">
      <c r="A860" s="281"/>
      <c r="B860" s="282"/>
      <c r="C860" s="278"/>
      <c r="D860" s="284"/>
      <c r="E860" s="285"/>
      <c r="F860" s="271"/>
      <c r="G860" s="272"/>
      <c r="H860" s="273"/>
      <c r="I860" s="274"/>
      <c r="J860" s="6"/>
      <c r="K860" s="6"/>
      <c r="L860" s="6"/>
      <c r="M860" s="6"/>
      <c r="N860" s="6"/>
    </row>
    <row r="861">
      <c r="A861" s="281"/>
      <c r="B861" s="282"/>
      <c r="C861" s="278"/>
      <c r="D861" s="284"/>
      <c r="E861" s="285"/>
      <c r="F861" s="271"/>
      <c r="G861" s="272"/>
      <c r="H861" s="273"/>
      <c r="I861" s="274"/>
      <c r="J861" s="6"/>
      <c r="K861" s="6"/>
      <c r="L861" s="6"/>
      <c r="M861" s="6"/>
      <c r="N861" s="6"/>
    </row>
    <row r="862">
      <c r="A862" s="281"/>
      <c r="B862" s="282"/>
      <c r="C862" s="278"/>
      <c r="D862" s="284"/>
      <c r="E862" s="285"/>
      <c r="F862" s="271"/>
      <c r="G862" s="272"/>
      <c r="H862" s="273"/>
      <c r="I862" s="274"/>
      <c r="J862" s="6"/>
      <c r="K862" s="6"/>
      <c r="L862" s="6"/>
      <c r="M862" s="6"/>
      <c r="N862" s="6"/>
    </row>
    <row r="863">
      <c r="A863" s="281"/>
      <c r="B863" s="282"/>
      <c r="C863" s="278"/>
      <c r="D863" s="284"/>
      <c r="E863" s="285"/>
      <c r="F863" s="271"/>
      <c r="G863" s="272"/>
      <c r="H863" s="273"/>
      <c r="I863" s="274"/>
      <c r="J863" s="6"/>
      <c r="K863" s="6"/>
      <c r="L863" s="6"/>
      <c r="M863" s="6"/>
      <c r="N863" s="6"/>
    </row>
    <row r="864">
      <c r="A864" s="281"/>
      <c r="B864" s="282"/>
      <c r="C864" s="278"/>
      <c r="D864" s="284"/>
      <c r="E864" s="285"/>
      <c r="F864" s="271"/>
      <c r="G864" s="272"/>
      <c r="H864" s="273"/>
      <c r="I864" s="274"/>
      <c r="J864" s="6"/>
      <c r="K864" s="6"/>
      <c r="L864" s="6"/>
      <c r="M864" s="6"/>
      <c r="N864" s="6"/>
    </row>
    <row r="865">
      <c r="A865" s="281"/>
      <c r="B865" s="282"/>
      <c r="C865" s="278"/>
      <c r="D865" s="284"/>
      <c r="E865" s="285"/>
      <c r="F865" s="271"/>
      <c r="G865" s="272"/>
      <c r="H865" s="273"/>
      <c r="I865" s="274"/>
      <c r="J865" s="6"/>
      <c r="K865" s="6"/>
      <c r="L865" s="6"/>
      <c r="M865" s="6"/>
      <c r="N865" s="6"/>
    </row>
    <row r="866">
      <c r="A866" s="281"/>
      <c r="B866" s="282"/>
      <c r="C866" s="278"/>
      <c r="D866" s="284"/>
      <c r="E866" s="285"/>
      <c r="F866" s="271"/>
      <c r="G866" s="272"/>
      <c r="H866" s="273"/>
      <c r="I866" s="274"/>
      <c r="J866" s="6"/>
      <c r="K866" s="6"/>
      <c r="L866" s="6"/>
      <c r="M866" s="6"/>
      <c r="N866" s="6"/>
    </row>
    <row r="867">
      <c r="A867" s="281"/>
      <c r="B867" s="282"/>
      <c r="C867" s="278"/>
      <c r="D867" s="284"/>
      <c r="E867" s="285"/>
      <c r="F867" s="271"/>
      <c r="G867" s="272"/>
      <c r="H867" s="273"/>
      <c r="I867" s="274"/>
      <c r="J867" s="6"/>
      <c r="K867" s="6"/>
      <c r="L867" s="6"/>
      <c r="M867" s="6"/>
      <c r="N867" s="6"/>
    </row>
    <row r="868">
      <c r="A868" s="281"/>
      <c r="B868" s="282"/>
      <c r="C868" s="278"/>
      <c r="D868" s="284"/>
      <c r="E868" s="285"/>
      <c r="F868" s="271"/>
      <c r="G868" s="272"/>
      <c r="H868" s="273"/>
      <c r="I868" s="274"/>
      <c r="J868" s="6"/>
      <c r="K868" s="6"/>
      <c r="L868" s="6"/>
      <c r="M868" s="6"/>
      <c r="N868" s="6"/>
    </row>
    <row r="869">
      <c r="A869" s="281"/>
      <c r="B869" s="282"/>
      <c r="C869" s="278"/>
      <c r="D869" s="284"/>
      <c r="E869" s="285"/>
      <c r="F869" s="271"/>
      <c r="G869" s="272"/>
      <c r="H869" s="273"/>
      <c r="I869" s="274"/>
      <c r="J869" s="6"/>
      <c r="K869" s="6"/>
      <c r="L869" s="6"/>
      <c r="M869" s="6"/>
      <c r="N869" s="6"/>
    </row>
    <row r="870">
      <c r="A870" s="281"/>
      <c r="B870" s="282"/>
      <c r="C870" s="278"/>
      <c r="D870" s="284"/>
      <c r="E870" s="285"/>
      <c r="F870" s="271"/>
      <c r="G870" s="272"/>
      <c r="H870" s="273"/>
      <c r="I870" s="274"/>
      <c r="J870" s="6"/>
      <c r="K870" s="6"/>
      <c r="L870" s="6"/>
      <c r="M870" s="6"/>
      <c r="N870" s="6"/>
    </row>
    <row r="871">
      <c r="A871" s="281"/>
      <c r="B871" s="282"/>
      <c r="C871" s="278"/>
      <c r="D871" s="284"/>
      <c r="E871" s="285"/>
      <c r="F871" s="271"/>
      <c r="G871" s="272"/>
      <c r="H871" s="273"/>
      <c r="I871" s="274"/>
      <c r="J871" s="6"/>
      <c r="K871" s="6"/>
      <c r="L871" s="6"/>
      <c r="M871" s="6"/>
      <c r="N871" s="6"/>
    </row>
    <row r="872">
      <c r="A872" s="281"/>
      <c r="B872" s="282"/>
      <c r="C872" s="278"/>
      <c r="D872" s="284"/>
      <c r="E872" s="285"/>
      <c r="F872" s="271"/>
      <c r="G872" s="272"/>
      <c r="H872" s="273"/>
      <c r="I872" s="274"/>
      <c r="J872" s="6"/>
      <c r="K872" s="6"/>
      <c r="L872" s="6"/>
      <c r="M872" s="6"/>
      <c r="N872" s="6"/>
    </row>
    <row r="873">
      <c r="A873" s="281"/>
      <c r="B873" s="282"/>
      <c r="C873" s="278"/>
      <c r="D873" s="284"/>
      <c r="E873" s="285"/>
      <c r="F873" s="271"/>
      <c r="G873" s="272"/>
      <c r="H873" s="273"/>
      <c r="I873" s="274"/>
      <c r="J873" s="6"/>
      <c r="K873" s="6"/>
      <c r="L873" s="6"/>
      <c r="M873" s="6"/>
      <c r="N873" s="6"/>
    </row>
    <row r="874">
      <c r="A874" s="281"/>
      <c r="B874" s="282"/>
      <c r="C874" s="278"/>
      <c r="D874" s="284"/>
      <c r="E874" s="285"/>
      <c r="F874" s="271"/>
      <c r="G874" s="272"/>
      <c r="H874" s="273"/>
      <c r="I874" s="274"/>
      <c r="J874" s="6"/>
      <c r="K874" s="6"/>
      <c r="L874" s="6"/>
      <c r="M874" s="6"/>
      <c r="N874" s="6"/>
    </row>
    <row r="875">
      <c r="A875" s="281"/>
      <c r="B875" s="282"/>
      <c r="C875" s="278"/>
      <c r="D875" s="284"/>
      <c r="E875" s="285"/>
      <c r="F875" s="271"/>
      <c r="G875" s="272"/>
      <c r="H875" s="273"/>
      <c r="I875" s="274"/>
      <c r="J875" s="6"/>
      <c r="K875" s="6"/>
      <c r="L875" s="6"/>
      <c r="M875" s="6"/>
      <c r="N875" s="6"/>
    </row>
    <row r="876">
      <c r="A876" s="281"/>
      <c r="B876" s="282"/>
      <c r="C876" s="278"/>
      <c r="D876" s="284"/>
      <c r="E876" s="285"/>
      <c r="F876" s="271"/>
      <c r="G876" s="272"/>
      <c r="H876" s="273"/>
      <c r="I876" s="274"/>
      <c r="J876" s="6"/>
      <c r="K876" s="6"/>
      <c r="L876" s="6"/>
      <c r="M876" s="6"/>
      <c r="N876" s="6"/>
    </row>
    <row r="877">
      <c r="A877" s="281"/>
      <c r="B877" s="282"/>
      <c r="C877" s="278"/>
      <c r="D877" s="284"/>
      <c r="E877" s="285"/>
      <c r="F877" s="271"/>
      <c r="G877" s="272"/>
      <c r="H877" s="273"/>
      <c r="I877" s="274"/>
      <c r="J877" s="6"/>
      <c r="K877" s="6"/>
      <c r="L877" s="6"/>
      <c r="M877" s="6"/>
      <c r="N877" s="6"/>
    </row>
    <row r="878">
      <c r="A878" s="281"/>
      <c r="B878" s="282"/>
      <c r="C878" s="278"/>
      <c r="D878" s="284"/>
      <c r="E878" s="285"/>
      <c r="F878" s="271"/>
      <c r="G878" s="272"/>
      <c r="H878" s="273"/>
      <c r="I878" s="274"/>
      <c r="J878" s="6"/>
      <c r="K878" s="6"/>
      <c r="L878" s="6"/>
      <c r="M878" s="6"/>
      <c r="N878" s="6"/>
    </row>
    <row r="879">
      <c r="A879" s="281"/>
      <c r="B879" s="282"/>
      <c r="C879" s="278"/>
      <c r="D879" s="284"/>
      <c r="E879" s="285"/>
      <c r="F879" s="271"/>
      <c r="G879" s="272"/>
      <c r="H879" s="273"/>
      <c r="I879" s="274"/>
      <c r="J879" s="6"/>
      <c r="K879" s="6"/>
      <c r="L879" s="6"/>
      <c r="M879" s="6"/>
      <c r="N879" s="6"/>
    </row>
    <row r="880">
      <c r="A880" s="281"/>
      <c r="B880" s="282"/>
      <c r="C880" s="278"/>
      <c r="D880" s="284"/>
      <c r="E880" s="285"/>
      <c r="F880" s="271"/>
      <c r="G880" s="272"/>
      <c r="H880" s="273"/>
      <c r="I880" s="274"/>
      <c r="J880" s="6"/>
      <c r="K880" s="6"/>
      <c r="L880" s="6"/>
      <c r="M880" s="6"/>
      <c r="N880" s="6"/>
    </row>
    <row r="881">
      <c r="A881" s="281"/>
      <c r="B881" s="282"/>
      <c r="C881" s="278"/>
      <c r="D881" s="284"/>
      <c r="E881" s="285"/>
      <c r="F881" s="271"/>
      <c r="G881" s="272"/>
      <c r="H881" s="273"/>
      <c r="I881" s="274"/>
      <c r="J881" s="6"/>
      <c r="K881" s="6"/>
      <c r="L881" s="6"/>
      <c r="M881" s="6"/>
      <c r="N881" s="6"/>
    </row>
    <row r="882">
      <c r="A882" s="281"/>
      <c r="B882" s="282"/>
      <c r="C882" s="278"/>
      <c r="D882" s="284"/>
      <c r="E882" s="285"/>
      <c r="F882" s="271"/>
      <c r="G882" s="272"/>
      <c r="H882" s="273"/>
      <c r="I882" s="274"/>
      <c r="J882" s="6"/>
      <c r="K882" s="6"/>
      <c r="L882" s="6"/>
      <c r="M882" s="6"/>
      <c r="N882" s="6"/>
    </row>
    <row r="883">
      <c r="A883" s="281"/>
      <c r="B883" s="282"/>
      <c r="C883" s="278"/>
      <c r="D883" s="284"/>
      <c r="E883" s="285"/>
      <c r="F883" s="271"/>
      <c r="G883" s="272"/>
      <c r="H883" s="273"/>
      <c r="I883" s="274"/>
      <c r="J883" s="6"/>
      <c r="K883" s="6"/>
      <c r="L883" s="6"/>
      <c r="M883" s="6"/>
      <c r="N883" s="6"/>
    </row>
    <row r="884">
      <c r="A884" s="281"/>
      <c r="B884" s="282"/>
      <c r="C884" s="278"/>
      <c r="D884" s="284"/>
      <c r="E884" s="285"/>
      <c r="F884" s="271"/>
      <c r="G884" s="272"/>
      <c r="H884" s="273"/>
      <c r="I884" s="274"/>
      <c r="J884" s="6"/>
      <c r="K884" s="6"/>
      <c r="L884" s="6"/>
      <c r="M884" s="6"/>
      <c r="N884" s="6"/>
    </row>
    <row r="885">
      <c r="A885" s="281"/>
      <c r="B885" s="282"/>
      <c r="C885" s="278"/>
      <c r="D885" s="284"/>
      <c r="E885" s="285"/>
      <c r="F885" s="271"/>
      <c r="G885" s="272"/>
      <c r="H885" s="273"/>
      <c r="I885" s="274"/>
      <c r="J885" s="6"/>
      <c r="K885" s="6"/>
      <c r="L885" s="6"/>
      <c r="M885" s="6"/>
      <c r="N885" s="6"/>
    </row>
    <row r="886">
      <c r="A886" s="281"/>
      <c r="B886" s="282"/>
      <c r="C886" s="278"/>
      <c r="D886" s="284"/>
      <c r="E886" s="285"/>
      <c r="F886" s="271"/>
      <c r="G886" s="272"/>
      <c r="H886" s="273"/>
      <c r="I886" s="274"/>
      <c r="J886" s="6"/>
      <c r="K886" s="6"/>
      <c r="L886" s="6"/>
      <c r="M886" s="6"/>
      <c r="N886" s="6"/>
    </row>
    <row r="887">
      <c r="A887" s="281"/>
      <c r="B887" s="282"/>
      <c r="C887" s="278"/>
      <c r="D887" s="284"/>
      <c r="E887" s="285"/>
      <c r="F887" s="271"/>
      <c r="G887" s="272"/>
      <c r="H887" s="273"/>
      <c r="I887" s="274"/>
      <c r="J887" s="6"/>
      <c r="K887" s="6"/>
      <c r="L887" s="6"/>
      <c r="M887" s="6"/>
      <c r="N887" s="6"/>
    </row>
    <row r="888">
      <c r="A888" s="281"/>
      <c r="B888" s="282"/>
      <c r="C888" s="278"/>
      <c r="D888" s="284"/>
      <c r="E888" s="285"/>
      <c r="F888" s="271"/>
      <c r="G888" s="272"/>
      <c r="H888" s="273"/>
      <c r="I888" s="274"/>
      <c r="J888" s="6"/>
      <c r="K888" s="6"/>
      <c r="L888" s="6"/>
      <c r="M888" s="6"/>
      <c r="N888" s="6"/>
    </row>
    <row r="889">
      <c r="A889" s="281"/>
      <c r="B889" s="282"/>
      <c r="C889" s="278"/>
      <c r="D889" s="284"/>
      <c r="E889" s="285"/>
      <c r="F889" s="271"/>
      <c r="G889" s="272"/>
      <c r="H889" s="273"/>
      <c r="I889" s="274"/>
      <c r="J889" s="6"/>
      <c r="K889" s="6"/>
      <c r="L889" s="6"/>
      <c r="M889" s="6"/>
      <c r="N889" s="6"/>
    </row>
    <row r="890">
      <c r="A890" s="281"/>
      <c r="B890" s="282"/>
      <c r="C890" s="278"/>
      <c r="D890" s="284"/>
      <c r="E890" s="285"/>
      <c r="F890" s="271"/>
      <c r="G890" s="272"/>
      <c r="H890" s="273"/>
      <c r="I890" s="274"/>
      <c r="J890" s="6"/>
      <c r="K890" s="6"/>
      <c r="L890" s="6"/>
      <c r="M890" s="6"/>
      <c r="N890" s="6"/>
    </row>
    <row r="891">
      <c r="A891" s="281"/>
      <c r="B891" s="282"/>
      <c r="C891" s="278"/>
      <c r="D891" s="284"/>
      <c r="E891" s="285"/>
      <c r="F891" s="271"/>
      <c r="G891" s="272"/>
      <c r="H891" s="273"/>
      <c r="I891" s="274"/>
      <c r="J891" s="6"/>
      <c r="K891" s="6"/>
      <c r="L891" s="6"/>
      <c r="M891" s="6"/>
      <c r="N891" s="6"/>
    </row>
    <row r="892">
      <c r="A892" s="281"/>
      <c r="B892" s="282"/>
      <c r="C892" s="278"/>
      <c r="D892" s="284"/>
      <c r="E892" s="285"/>
      <c r="F892" s="271"/>
      <c r="G892" s="272"/>
      <c r="H892" s="273"/>
      <c r="I892" s="274"/>
      <c r="J892" s="6"/>
      <c r="K892" s="6"/>
      <c r="L892" s="6"/>
      <c r="M892" s="6"/>
      <c r="N892" s="6"/>
    </row>
    <row r="893">
      <c r="A893" s="281"/>
      <c r="B893" s="282"/>
      <c r="C893" s="278"/>
      <c r="D893" s="284"/>
      <c r="E893" s="285"/>
      <c r="F893" s="271"/>
      <c r="G893" s="272"/>
      <c r="H893" s="273"/>
      <c r="I893" s="274"/>
      <c r="J893" s="6"/>
      <c r="K893" s="6"/>
      <c r="L893" s="6"/>
      <c r="M893" s="6"/>
      <c r="N893" s="6"/>
    </row>
    <row r="894">
      <c r="A894" s="281"/>
      <c r="B894" s="282"/>
      <c r="C894" s="278"/>
      <c r="D894" s="284"/>
      <c r="E894" s="285"/>
      <c r="F894" s="271"/>
      <c r="G894" s="272"/>
      <c r="H894" s="273"/>
      <c r="I894" s="274"/>
      <c r="J894" s="6"/>
      <c r="K894" s="6"/>
      <c r="L894" s="6"/>
      <c r="M894" s="6"/>
      <c r="N894" s="6"/>
    </row>
    <row r="895">
      <c r="A895" s="281"/>
      <c r="B895" s="282"/>
      <c r="C895" s="278"/>
      <c r="D895" s="284"/>
      <c r="E895" s="285"/>
      <c r="F895" s="271"/>
      <c r="G895" s="272"/>
      <c r="H895" s="273"/>
      <c r="I895" s="274"/>
      <c r="J895" s="6"/>
      <c r="K895" s="6"/>
      <c r="L895" s="6"/>
      <c r="M895" s="6"/>
      <c r="N895" s="6"/>
    </row>
    <row r="896">
      <c r="A896" s="281"/>
      <c r="B896" s="282"/>
      <c r="C896" s="278"/>
      <c r="D896" s="284"/>
      <c r="E896" s="285"/>
      <c r="F896" s="271"/>
      <c r="G896" s="272"/>
      <c r="H896" s="273"/>
      <c r="I896" s="274"/>
      <c r="J896" s="6"/>
      <c r="K896" s="6"/>
      <c r="L896" s="6"/>
      <c r="M896" s="6"/>
      <c r="N896" s="6"/>
    </row>
    <row r="897">
      <c r="A897" s="281"/>
      <c r="B897" s="282"/>
      <c r="C897" s="278"/>
      <c r="D897" s="284"/>
      <c r="E897" s="285"/>
      <c r="F897" s="271"/>
      <c r="G897" s="272"/>
      <c r="H897" s="273"/>
      <c r="I897" s="274"/>
      <c r="J897" s="6"/>
      <c r="K897" s="6"/>
      <c r="L897" s="6"/>
      <c r="M897" s="6"/>
      <c r="N897" s="6"/>
    </row>
    <row r="898">
      <c r="A898" s="281"/>
      <c r="B898" s="282"/>
      <c r="C898" s="278"/>
      <c r="D898" s="284"/>
      <c r="E898" s="285"/>
      <c r="F898" s="271"/>
      <c r="G898" s="272"/>
      <c r="H898" s="273"/>
      <c r="I898" s="274"/>
      <c r="J898" s="6"/>
      <c r="K898" s="6"/>
      <c r="L898" s="6"/>
      <c r="M898" s="6"/>
      <c r="N898" s="6"/>
    </row>
    <row r="899">
      <c r="A899" s="281"/>
      <c r="B899" s="282"/>
      <c r="C899" s="278"/>
      <c r="D899" s="284"/>
      <c r="E899" s="285"/>
      <c r="F899" s="271"/>
      <c r="G899" s="272"/>
      <c r="H899" s="273"/>
      <c r="I899" s="274"/>
      <c r="J899" s="6"/>
      <c r="K899" s="6"/>
      <c r="L899" s="6"/>
      <c r="M899" s="6"/>
      <c r="N899" s="6"/>
    </row>
    <row r="900">
      <c r="A900" s="281"/>
      <c r="B900" s="282"/>
      <c r="C900" s="278"/>
      <c r="D900" s="284"/>
      <c r="E900" s="285"/>
      <c r="F900" s="271"/>
      <c r="G900" s="272"/>
      <c r="H900" s="273"/>
      <c r="I900" s="274"/>
      <c r="J900" s="6"/>
      <c r="K900" s="6"/>
      <c r="L900" s="6"/>
      <c r="M900" s="6"/>
      <c r="N900" s="6"/>
    </row>
    <row r="901">
      <c r="A901" s="281"/>
      <c r="B901" s="282"/>
      <c r="C901" s="278"/>
      <c r="D901" s="284"/>
      <c r="E901" s="285"/>
      <c r="F901" s="271"/>
      <c r="G901" s="272"/>
      <c r="H901" s="273"/>
      <c r="I901" s="274"/>
      <c r="J901" s="6"/>
      <c r="K901" s="6"/>
      <c r="L901" s="6"/>
      <c r="M901" s="6"/>
      <c r="N901" s="6"/>
    </row>
    <row r="902">
      <c r="A902" s="281"/>
      <c r="B902" s="282"/>
      <c r="C902" s="278"/>
      <c r="D902" s="284"/>
      <c r="E902" s="285"/>
      <c r="F902" s="271"/>
      <c r="G902" s="272"/>
      <c r="H902" s="273"/>
      <c r="I902" s="274"/>
      <c r="J902" s="6"/>
      <c r="K902" s="6"/>
      <c r="L902" s="6"/>
      <c r="M902" s="6"/>
      <c r="N902" s="6"/>
    </row>
    <row r="903">
      <c r="A903" s="281"/>
      <c r="B903" s="282"/>
      <c r="C903" s="278"/>
      <c r="D903" s="284"/>
      <c r="E903" s="285"/>
      <c r="F903" s="271"/>
      <c r="G903" s="272"/>
      <c r="H903" s="273"/>
      <c r="I903" s="274"/>
      <c r="J903" s="6"/>
      <c r="K903" s="6"/>
      <c r="L903" s="6"/>
      <c r="M903" s="6"/>
      <c r="N903" s="6"/>
    </row>
    <row r="904">
      <c r="A904" s="281"/>
      <c r="B904" s="282"/>
      <c r="C904" s="278"/>
      <c r="D904" s="284"/>
      <c r="E904" s="285"/>
      <c r="F904" s="271"/>
      <c r="G904" s="272"/>
      <c r="H904" s="273"/>
      <c r="I904" s="274"/>
      <c r="J904" s="6"/>
      <c r="K904" s="6"/>
      <c r="L904" s="6"/>
      <c r="M904" s="6"/>
      <c r="N904" s="6"/>
    </row>
    <row r="905">
      <c r="A905" s="281"/>
      <c r="B905" s="282"/>
      <c r="C905" s="278"/>
      <c r="D905" s="284"/>
      <c r="E905" s="285"/>
      <c r="F905" s="271"/>
      <c r="G905" s="272"/>
      <c r="H905" s="273"/>
      <c r="I905" s="274"/>
      <c r="J905" s="6"/>
      <c r="K905" s="6"/>
      <c r="L905" s="6"/>
      <c r="M905" s="6"/>
      <c r="N905" s="6"/>
    </row>
    <row r="906">
      <c r="A906" s="281"/>
      <c r="B906" s="282"/>
      <c r="C906" s="278"/>
      <c r="D906" s="284"/>
      <c r="E906" s="285"/>
      <c r="F906" s="271"/>
      <c r="G906" s="272"/>
      <c r="H906" s="273"/>
      <c r="I906" s="274"/>
      <c r="J906" s="6"/>
      <c r="K906" s="6"/>
      <c r="L906" s="6"/>
      <c r="M906" s="6"/>
      <c r="N906" s="6"/>
    </row>
    <row r="907">
      <c r="A907" s="281"/>
      <c r="B907" s="282"/>
      <c r="C907" s="278"/>
      <c r="D907" s="284"/>
      <c r="E907" s="285"/>
      <c r="F907" s="271"/>
      <c r="G907" s="272"/>
      <c r="H907" s="273"/>
      <c r="I907" s="274"/>
      <c r="J907" s="6"/>
      <c r="K907" s="6"/>
      <c r="L907" s="6"/>
      <c r="M907" s="6"/>
      <c r="N907" s="6"/>
    </row>
    <row r="908">
      <c r="A908" s="281"/>
      <c r="B908" s="282"/>
      <c r="C908" s="278"/>
      <c r="D908" s="284"/>
      <c r="E908" s="285"/>
      <c r="F908" s="271"/>
      <c r="G908" s="272"/>
      <c r="H908" s="273"/>
      <c r="I908" s="274"/>
      <c r="J908" s="6"/>
      <c r="K908" s="6"/>
      <c r="L908" s="6"/>
      <c r="M908" s="6"/>
      <c r="N908" s="6"/>
    </row>
    <row r="909">
      <c r="A909" s="281"/>
      <c r="B909" s="282"/>
      <c r="C909" s="278"/>
      <c r="D909" s="284"/>
      <c r="E909" s="285"/>
      <c r="F909" s="271"/>
      <c r="G909" s="272"/>
      <c r="H909" s="273"/>
      <c r="I909" s="274"/>
      <c r="J909" s="6"/>
      <c r="K909" s="6"/>
      <c r="L909" s="6"/>
      <c r="M909" s="6"/>
      <c r="N909" s="6"/>
    </row>
    <row r="910">
      <c r="A910" s="281"/>
      <c r="B910" s="282"/>
      <c r="C910" s="278"/>
      <c r="D910" s="284"/>
      <c r="E910" s="285"/>
      <c r="F910" s="271"/>
      <c r="G910" s="272"/>
      <c r="H910" s="273"/>
      <c r="I910" s="274"/>
      <c r="J910" s="6"/>
      <c r="K910" s="6"/>
      <c r="L910" s="6"/>
      <c r="M910" s="6"/>
      <c r="N910" s="6"/>
    </row>
    <row r="911">
      <c r="A911" s="281"/>
      <c r="B911" s="282"/>
      <c r="C911" s="278"/>
      <c r="D911" s="284"/>
      <c r="E911" s="285"/>
      <c r="F911" s="271"/>
      <c r="G911" s="272"/>
      <c r="H911" s="273"/>
      <c r="I911" s="274"/>
      <c r="J911" s="6"/>
      <c r="K911" s="6"/>
      <c r="L911" s="6"/>
      <c r="M911" s="6"/>
      <c r="N911" s="6"/>
    </row>
    <row r="912">
      <c r="A912" s="281"/>
      <c r="B912" s="282"/>
      <c r="C912" s="278"/>
      <c r="D912" s="284"/>
      <c r="E912" s="285"/>
      <c r="F912" s="271"/>
      <c r="G912" s="272"/>
      <c r="H912" s="273"/>
      <c r="I912" s="274"/>
      <c r="J912" s="6"/>
      <c r="K912" s="6"/>
      <c r="L912" s="6"/>
      <c r="M912" s="6"/>
      <c r="N912" s="6"/>
    </row>
    <row r="913">
      <c r="A913" s="281"/>
      <c r="B913" s="282"/>
      <c r="C913" s="278"/>
      <c r="D913" s="284"/>
      <c r="E913" s="285"/>
      <c r="F913" s="271"/>
      <c r="G913" s="272"/>
      <c r="H913" s="273"/>
      <c r="I913" s="274"/>
      <c r="J913" s="6"/>
      <c r="K913" s="6"/>
      <c r="L913" s="6"/>
      <c r="M913" s="6"/>
      <c r="N913" s="6"/>
    </row>
    <row r="914">
      <c r="A914" s="281"/>
      <c r="B914" s="282"/>
      <c r="C914" s="278"/>
      <c r="D914" s="284"/>
      <c r="E914" s="285"/>
      <c r="F914" s="271"/>
      <c r="G914" s="272"/>
      <c r="H914" s="273"/>
      <c r="I914" s="274"/>
      <c r="J914" s="6"/>
      <c r="K914" s="6"/>
      <c r="L914" s="6"/>
      <c r="M914" s="6"/>
      <c r="N914" s="6"/>
    </row>
    <row r="915">
      <c r="A915" s="281"/>
      <c r="B915" s="282"/>
      <c r="C915" s="278"/>
      <c r="D915" s="284"/>
      <c r="E915" s="285"/>
      <c r="F915" s="271"/>
      <c r="G915" s="272"/>
      <c r="H915" s="273"/>
      <c r="I915" s="274"/>
      <c r="J915" s="6"/>
      <c r="K915" s="6"/>
      <c r="L915" s="6"/>
      <c r="M915" s="6"/>
      <c r="N915" s="6"/>
    </row>
    <row r="916">
      <c r="A916" s="281"/>
      <c r="B916" s="282"/>
      <c r="C916" s="278"/>
      <c r="D916" s="284"/>
      <c r="E916" s="285"/>
      <c r="F916" s="271"/>
      <c r="G916" s="272"/>
      <c r="H916" s="273"/>
      <c r="I916" s="274"/>
      <c r="J916" s="6"/>
      <c r="K916" s="6"/>
      <c r="L916" s="6"/>
      <c r="M916" s="6"/>
      <c r="N916" s="6"/>
    </row>
    <row r="917">
      <c r="A917" s="281"/>
      <c r="B917" s="282"/>
      <c r="C917" s="278"/>
      <c r="D917" s="284"/>
      <c r="E917" s="285"/>
      <c r="F917" s="271"/>
      <c r="G917" s="272"/>
      <c r="H917" s="273"/>
      <c r="I917" s="274"/>
      <c r="J917" s="6"/>
      <c r="K917" s="6"/>
      <c r="L917" s="6"/>
      <c r="M917" s="6"/>
      <c r="N917" s="6"/>
    </row>
    <row r="918">
      <c r="A918" s="281"/>
      <c r="B918" s="282"/>
      <c r="C918" s="278"/>
      <c r="D918" s="284"/>
      <c r="E918" s="285"/>
      <c r="F918" s="271"/>
      <c r="G918" s="272"/>
      <c r="H918" s="273"/>
      <c r="I918" s="274"/>
      <c r="J918" s="6"/>
      <c r="K918" s="6"/>
      <c r="L918" s="6"/>
      <c r="M918" s="6"/>
      <c r="N918" s="6"/>
    </row>
    <row r="919">
      <c r="A919" s="281"/>
      <c r="B919" s="282"/>
      <c r="C919" s="278"/>
      <c r="D919" s="284"/>
      <c r="E919" s="285"/>
      <c r="F919" s="271"/>
      <c r="G919" s="272"/>
      <c r="H919" s="273"/>
      <c r="I919" s="274"/>
      <c r="J919" s="6"/>
      <c r="K919" s="6"/>
      <c r="L919" s="6"/>
      <c r="M919" s="6"/>
      <c r="N919" s="6"/>
    </row>
    <row r="920">
      <c r="A920" s="281"/>
      <c r="B920" s="282"/>
      <c r="C920" s="278"/>
      <c r="D920" s="284"/>
      <c r="E920" s="285"/>
      <c r="F920" s="271"/>
      <c r="G920" s="272"/>
      <c r="H920" s="273"/>
      <c r="I920" s="274"/>
      <c r="J920" s="6"/>
      <c r="K920" s="6"/>
      <c r="L920" s="6"/>
      <c r="M920" s="6"/>
      <c r="N920" s="6"/>
    </row>
    <row r="921">
      <c r="A921" s="281"/>
      <c r="B921" s="282"/>
      <c r="C921" s="278"/>
      <c r="D921" s="284"/>
      <c r="E921" s="285"/>
      <c r="F921" s="271"/>
      <c r="G921" s="272"/>
      <c r="H921" s="273"/>
      <c r="I921" s="274"/>
      <c r="J921" s="6"/>
      <c r="K921" s="6"/>
      <c r="L921" s="6"/>
      <c r="M921" s="6"/>
      <c r="N921" s="6"/>
    </row>
    <row r="922">
      <c r="A922" s="281"/>
      <c r="B922" s="282"/>
      <c r="C922" s="278"/>
      <c r="D922" s="284"/>
      <c r="E922" s="285"/>
      <c r="F922" s="271"/>
      <c r="G922" s="272"/>
      <c r="H922" s="273"/>
      <c r="I922" s="274"/>
      <c r="J922" s="6"/>
      <c r="K922" s="6"/>
      <c r="L922" s="6"/>
      <c r="M922" s="6"/>
      <c r="N922" s="6"/>
    </row>
    <row r="923">
      <c r="A923" s="281"/>
      <c r="B923" s="282"/>
      <c r="C923" s="278"/>
      <c r="D923" s="284"/>
      <c r="E923" s="285"/>
      <c r="F923" s="271"/>
      <c r="G923" s="272"/>
      <c r="H923" s="273"/>
      <c r="I923" s="274"/>
      <c r="J923" s="6"/>
      <c r="K923" s="6"/>
      <c r="L923" s="6"/>
      <c r="M923" s="6"/>
      <c r="N923" s="6"/>
    </row>
    <row r="924">
      <c r="A924" s="281"/>
      <c r="B924" s="282"/>
      <c r="C924" s="278"/>
      <c r="D924" s="284"/>
      <c r="E924" s="285"/>
      <c r="F924" s="271"/>
      <c r="G924" s="272"/>
      <c r="H924" s="273"/>
      <c r="I924" s="274"/>
      <c r="J924" s="6"/>
      <c r="K924" s="6"/>
      <c r="L924" s="6"/>
      <c r="M924" s="6"/>
      <c r="N924" s="6"/>
    </row>
    <row r="925">
      <c r="A925" s="281"/>
      <c r="B925" s="282"/>
      <c r="C925" s="278"/>
      <c r="D925" s="284"/>
      <c r="E925" s="285"/>
      <c r="F925" s="271"/>
      <c r="G925" s="272"/>
      <c r="H925" s="273"/>
      <c r="I925" s="274"/>
      <c r="J925" s="6"/>
      <c r="K925" s="6"/>
      <c r="L925" s="6"/>
      <c r="M925" s="6"/>
      <c r="N925" s="6"/>
    </row>
    <row r="926">
      <c r="A926" s="281"/>
      <c r="B926" s="282"/>
      <c r="C926" s="278"/>
      <c r="D926" s="284"/>
      <c r="E926" s="285"/>
      <c r="F926" s="271"/>
      <c r="G926" s="272"/>
      <c r="H926" s="273"/>
      <c r="I926" s="274"/>
      <c r="J926" s="6"/>
      <c r="K926" s="6"/>
      <c r="L926" s="6"/>
      <c r="M926" s="6"/>
      <c r="N926" s="6"/>
    </row>
    <row r="927">
      <c r="A927" s="281"/>
      <c r="B927" s="282"/>
      <c r="C927" s="278"/>
      <c r="D927" s="284"/>
      <c r="E927" s="285"/>
      <c r="F927" s="271"/>
      <c r="G927" s="272"/>
      <c r="H927" s="273"/>
      <c r="I927" s="274"/>
      <c r="J927" s="6"/>
      <c r="K927" s="6"/>
      <c r="L927" s="6"/>
      <c r="M927" s="6"/>
      <c r="N927" s="6"/>
    </row>
    <row r="928">
      <c r="A928" s="281"/>
      <c r="B928" s="282"/>
      <c r="C928" s="278"/>
      <c r="D928" s="284"/>
      <c r="E928" s="285"/>
      <c r="F928" s="271"/>
      <c r="G928" s="272"/>
      <c r="H928" s="273"/>
      <c r="I928" s="274"/>
      <c r="J928" s="6"/>
      <c r="K928" s="6"/>
      <c r="L928" s="6"/>
      <c r="M928" s="6"/>
      <c r="N928" s="6"/>
    </row>
    <row r="929">
      <c r="A929" s="281"/>
      <c r="B929" s="282"/>
      <c r="C929" s="278"/>
      <c r="D929" s="284"/>
      <c r="E929" s="285"/>
      <c r="F929" s="271"/>
      <c r="G929" s="272"/>
      <c r="H929" s="273"/>
      <c r="I929" s="274"/>
      <c r="J929" s="6"/>
      <c r="K929" s="6"/>
      <c r="L929" s="6"/>
      <c r="M929" s="6"/>
      <c r="N929" s="6"/>
    </row>
    <row r="930">
      <c r="A930" s="281"/>
      <c r="B930" s="282"/>
      <c r="C930" s="278"/>
      <c r="D930" s="284"/>
      <c r="E930" s="285"/>
      <c r="F930" s="271"/>
      <c r="G930" s="272"/>
      <c r="H930" s="273"/>
      <c r="I930" s="274"/>
      <c r="J930" s="6"/>
      <c r="K930" s="6"/>
      <c r="L930" s="6"/>
      <c r="M930" s="6"/>
      <c r="N930" s="6"/>
    </row>
    <row r="931">
      <c r="A931" s="281"/>
      <c r="B931" s="282"/>
      <c r="C931" s="278"/>
      <c r="D931" s="284"/>
      <c r="E931" s="285"/>
      <c r="F931" s="271"/>
      <c r="G931" s="272"/>
      <c r="H931" s="273"/>
      <c r="I931" s="274"/>
      <c r="J931" s="6"/>
      <c r="K931" s="6"/>
      <c r="L931" s="6"/>
      <c r="M931" s="6"/>
      <c r="N931" s="6"/>
    </row>
    <row r="932">
      <c r="A932" s="281"/>
      <c r="B932" s="282"/>
      <c r="C932" s="278"/>
      <c r="D932" s="284"/>
      <c r="E932" s="285"/>
      <c r="F932" s="271"/>
      <c r="G932" s="272"/>
      <c r="H932" s="273"/>
      <c r="I932" s="274"/>
      <c r="J932" s="6"/>
      <c r="K932" s="6"/>
      <c r="L932" s="6"/>
      <c r="M932" s="6"/>
      <c r="N932" s="6"/>
    </row>
    <row r="933">
      <c r="A933" s="281"/>
      <c r="B933" s="282"/>
      <c r="C933" s="278"/>
      <c r="D933" s="284"/>
      <c r="E933" s="285"/>
      <c r="F933" s="271"/>
      <c r="G933" s="272"/>
      <c r="H933" s="273"/>
      <c r="I933" s="274"/>
      <c r="J933" s="6"/>
      <c r="K933" s="6"/>
      <c r="L933" s="6"/>
      <c r="M933" s="6"/>
      <c r="N933" s="6"/>
    </row>
    <row r="934">
      <c r="A934" s="281"/>
      <c r="B934" s="282"/>
      <c r="C934" s="278"/>
      <c r="D934" s="284"/>
      <c r="E934" s="285"/>
      <c r="F934" s="271"/>
      <c r="G934" s="272"/>
      <c r="H934" s="273"/>
      <c r="I934" s="274"/>
      <c r="J934" s="6"/>
      <c r="K934" s="6"/>
      <c r="L934" s="6"/>
      <c r="M934" s="6"/>
      <c r="N934" s="6"/>
    </row>
    <row r="935">
      <c r="A935" s="281"/>
      <c r="B935" s="282"/>
      <c r="C935" s="278"/>
      <c r="D935" s="284"/>
      <c r="E935" s="285"/>
      <c r="F935" s="271"/>
      <c r="G935" s="272"/>
      <c r="H935" s="273"/>
      <c r="I935" s="274"/>
      <c r="J935" s="6"/>
      <c r="K935" s="6"/>
      <c r="L935" s="6"/>
      <c r="M935" s="6"/>
      <c r="N935" s="6"/>
    </row>
    <row r="936">
      <c r="A936" s="281"/>
      <c r="B936" s="282"/>
      <c r="C936" s="278"/>
      <c r="D936" s="284"/>
      <c r="E936" s="285"/>
      <c r="F936" s="271"/>
      <c r="G936" s="272"/>
      <c r="H936" s="273"/>
      <c r="I936" s="274"/>
      <c r="J936" s="6"/>
      <c r="K936" s="6"/>
      <c r="L936" s="6"/>
      <c r="M936" s="6"/>
      <c r="N936" s="6"/>
    </row>
    <row r="937">
      <c r="A937" s="281"/>
      <c r="B937" s="282"/>
      <c r="C937" s="278"/>
      <c r="D937" s="284"/>
      <c r="E937" s="285"/>
      <c r="F937" s="271"/>
      <c r="G937" s="272"/>
      <c r="H937" s="273"/>
      <c r="I937" s="274"/>
      <c r="J937" s="6"/>
      <c r="K937" s="6"/>
      <c r="L937" s="6"/>
      <c r="M937" s="6"/>
      <c r="N937" s="6"/>
    </row>
    <row r="938">
      <c r="A938" s="281"/>
      <c r="B938" s="282"/>
      <c r="C938" s="278"/>
      <c r="D938" s="284"/>
      <c r="E938" s="285"/>
      <c r="F938" s="271"/>
      <c r="G938" s="272"/>
      <c r="H938" s="273"/>
      <c r="I938" s="274"/>
      <c r="J938" s="6"/>
      <c r="K938" s="6"/>
      <c r="L938" s="6"/>
      <c r="M938" s="6"/>
      <c r="N938" s="6"/>
    </row>
    <row r="939">
      <c r="A939" s="281"/>
      <c r="B939" s="282"/>
      <c r="C939" s="278"/>
      <c r="D939" s="284"/>
      <c r="E939" s="285"/>
      <c r="F939" s="271"/>
      <c r="G939" s="272"/>
      <c r="H939" s="273"/>
      <c r="I939" s="274"/>
      <c r="J939" s="6"/>
      <c r="K939" s="6"/>
      <c r="L939" s="6"/>
      <c r="M939" s="6"/>
      <c r="N939" s="6"/>
    </row>
    <row r="940">
      <c r="A940" s="281"/>
      <c r="B940" s="282"/>
      <c r="C940" s="278"/>
      <c r="D940" s="284"/>
      <c r="E940" s="285"/>
      <c r="F940" s="271"/>
      <c r="G940" s="272"/>
      <c r="H940" s="273"/>
      <c r="I940" s="274"/>
      <c r="J940" s="6"/>
      <c r="K940" s="6"/>
      <c r="L940" s="6"/>
      <c r="M940" s="6"/>
      <c r="N940" s="6"/>
    </row>
    <row r="941">
      <c r="A941" s="281"/>
      <c r="B941" s="282"/>
      <c r="C941" s="278"/>
      <c r="D941" s="284"/>
      <c r="E941" s="285"/>
      <c r="F941" s="271"/>
      <c r="G941" s="272"/>
      <c r="H941" s="273"/>
      <c r="I941" s="274"/>
      <c r="J941" s="6"/>
      <c r="K941" s="6"/>
      <c r="L941" s="6"/>
      <c r="M941" s="6"/>
      <c r="N941" s="6"/>
    </row>
    <row r="942">
      <c r="A942" s="281"/>
      <c r="B942" s="282"/>
      <c r="C942" s="278"/>
      <c r="D942" s="284"/>
      <c r="E942" s="285"/>
      <c r="F942" s="271"/>
      <c r="G942" s="272"/>
      <c r="H942" s="273"/>
      <c r="I942" s="274"/>
      <c r="J942" s="6"/>
      <c r="K942" s="6"/>
      <c r="L942" s="6"/>
      <c r="M942" s="6"/>
      <c r="N942" s="6"/>
    </row>
    <row r="943">
      <c r="A943" s="281"/>
      <c r="B943" s="282"/>
      <c r="C943" s="278"/>
      <c r="D943" s="284"/>
      <c r="E943" s="285"/>
      <c r="F943" s="271"/>
      <c r="G943" s="272"/>
      <c r="H943" s="273"/>
      <c r="I943" s="274"/>
      <c r="J943" s="6"/>
      <c r="K943" s="6"/>
      <c r="L943" s="6"/>
      <c r="M943" s="6"/>
      <c r="N943" s="6"/>
    </row>
    <row r="944">
      <c r="A944" s="281"/>
      <c r="B944" s="282"/>
      <c r="C944" s="278"/>
      <c r="D944" s="284"/>
      <c r="E944" s="285"/>
      <c r="F944" s="271"/>
      <c r="G944" s="272"/>
      <c r="H944" s="273"/>
      <c r="I944" s="274"/>
      <c r="J944" s="6"/>
      <c r="K944" s="6"/>
      <c r="L944" s="6"/>
      <c r="M944" s="6"/>
      <c r="N944" s="6"/>
    </row>
    <row r="945">
      <c r="A945" s="281"/>
      <c r="B945" s="282"/>
      <c r="C945" s="278"/>
      <c r="D945" s="284"/>
      <c r="E945" s="285"/>
      <c r="F945" s="271"/>
      <c r="G945" s="272"/>
      <c r="H945" s="273"/>
      <c r="I945" s="274"/>
      <c r="J945" s="6"/>
      <c r="K945" s="6"/>
      <c r="L945" s="6"/>
      <c r="M945" s="6"/>
      <c r="N945" s="6"/>
    </row>
    <row r="946">
      <c r="A946" s="281"/>
      <c r="B946" s="282"/>
      <c r="C946" s="278"/>
      <c r="D946" s="284"/>
      <c r="E946" s="285"/>
      <c r="F946" s="271"/>
      <c r="G946" s="272"/>
      <c r="H946" s="273"/>
      <c r="I946" s="274"/>
      <c r="J946" s="6"/>
      <c r="K946" s="6"/>
      <c r="L946" s="6"/>
      <c r="M946" s="6"/>
      <c r="N946" s="6"/>
    </row>
    <row r="947">
      <c r="A947" s="281"/>
      <c r="B947" s="282"/>
      <c r="C947" s="278"/>
      <c r="D947" s="284"/>
      <c r="E947" s="285"/>
      <c r="F947" s="271"/>
      <c r="G947" s="272"/>
      <c r="H947" s="273"/>
      <c r="I947" s="274"/>
      <c r="J947" s="6"/>
      <c r="K947" s="6"/>
      <c r="L947" s="6"/>
      <c r="M947" s="6"/>
      <c r="N947" s="6"/>
    </row>
    <row r="948">
      <c r="A948" s="281"/>
      <c r="B948" s="282"/>
      <c r="C948" s="278"/>
      <c r="D948" s="284"/>
      <c r="E948" s="285"/>
      <c r="F948" s="271"/>
      <c r="G948" s="272"/>
      <c r="H948" s="273"/>
      <c r="I948" s="274"/>
      <c r="J948" s="6"/>
      <c r="K948" s="6"/>
      <c r="L948" s="6"/>
      <c r="M948" s="6"/>
      <c r="N948" s="6"/>
    </row>
    <row r="949">
      <c r="A949" s="281"/>
      <c r="B949" s="282"/>
      <c r="C949" s="278"/>
      <c r="D949" s="284"/>
      <c r="E949" s="285"/>
      <c r="F949" s="271"/>
      <c r="G949" s="272"/>
      <c r="H949" s="273"/>
      <c r="I949" s="274"/>
      <c r="J949" s="6"/>
      <c r="K949" s="6"/>
      <c r="L949" s="6"/>
      <c r="M949" s="6"/>
      <c r="N949" s="6"/>
    </row>
    <row r="950">
      <c r="A950" s="281"/>
      <c r="B950" s="282"/>
      <c r="C950" s="278"/>
      <c r="D950" s="284"/>
      <c r="E950" s="285"/>
      <c r="F950" s="271"/>
      <c r="G950" s="272"/>
      <c r="H950" s="273"/>
      <c r="I950" s="274"/>
      <c r="J950" s="6"/>
      <c r="K950" s="6"/>
      <c r="L950" s="6"/>
      <c r="M950" s="6"/>
      <c r="N950" s="6"/>
    </row>
    <row r="951">
      <c r="A951" s="281"/>
      <c r="B951" s="282"/>
      <c r="C951" s="278"/>
      <c r="D951" s="284"/>
      <c r="E951" s="285"/>
      <c r="F951" s="271"/>
      <c r="G951" s="272"/>
      <c r="H951" s="273"/>
      <c r="I951" s="274"/>
      <c r="J951" s="6"/>
      <c r="K951" s="6"/>
      <c r="L951" s="6"/>
      <c r="M951" s="6"/>
      <c r="N951" s="6"/>
    </row>
    <row r="952">
      <c r="A952" s="281"/>
      <c r="B952" s="282"/>
      <c r="C952" s="278"/>
      <c r="D952" s="284"/>
      <c r="E952" s="285"/>
      <c r="F952" s="271"/>
      <c r="G952" s="272"/>
      <c r="H952" s="273"/>
      <c r="I952" s="274"/>
      <c r="J952" s="6"/>
      <c r="K952" s="6"/>
      <c r="L952" s="6"/>
      <c r="M952" s="6"/>
      <c r="N952" s="6"/>
    </row>
    <row r="953">
      <c r="A953" s="281"/>
      <c r="B953" s="282"/>
      <c r="C953" s="278"/>
      <c r="D953" s="284"/>
      <c r="E953" s="285"/>
      <c r="F953" s="271"/>
      <c r="G953" s="272"/>
      <c r="H953" s="273"/>
      <c r="I953" s="274"/>
      <c r="J953" s="6"/>
      <c r="K953" s="6"/>
      <c r="L953" s="6"/>
      <c r="M953" s="6"/>
      <c r="N953" s="6"/>
    </row>
    <row r="954">
      <c r="A954" s="281"/>
      <c r="B954" s="282"/>
      <c r="C954" s="278"/>
      <c r="D954" s="284"/>
      <c r="E954" s="285"/>
      <c r="F954" s="271"/>
      <c r="G954" s="272"/>
      <c r="H954" s="273"/>
      <c r="I954" s="274"/>
      <c r="J954" s="6"/>
      <c r="K954" s="6"/>
      <c r="L954" s="6"/>
      <c r="M954" s="6"/>
      <c r="N954" s="6"/>
    </row>
    <row r="955">
      <c r="A955" s="281"/>
      <c r="B955" s="282"/>
      <c r="C955" s="278"/>
      <c r="D955" s="284"/>
      <c r="E955" s="285"/>
      <c r="F955" s="271"/>
      <c r="G955" s="272"/>
      <c r="H955" s="273"/>
      <c r="I955" s="274"/>
      <c r="J955" s="6"/>
      <c r="K955" s="6"/>
      <c r="L955" s="6"/>
      <c r="M955" s="6"/>
      <c r="N955" s="6"/>
    </row>
    <row r="956">
      <c r="A956" s="281"/>
      <c r="B956" s="282"/>
      <c r="C956" s="278"/>
      <c r="D956" s="284"/>
      <c r="E956" s="285"/>
      <c r="F956" s="271"/>
      <c r="G956" s="272"/>
      <c r="H956" s="273"/>
      <c r="I956" s="274"/>
      <c r="J956" s="6"/>
      <c r="K956" s="6"/>
      <c r="L956" s="6"/>
      <c r="M956" s="6"/>
      <c r="N956" s="6"/>
    </row>
    <row r="957">
      <c r="A957" s="281"/>
      <c r="B957" s="282"/>
      <c r="C957" s="278"/>
      <c r="D957" s="284"/>
      <c r="E957" s="285"/>
      <c r="F957" s="271"/>
      <c r="G957" s="272"/>
      <c r="H957" s="273"/>
      <c r="I957" s="274"/>
      <c r="J957" s="6"/>
      <c r="K957" s="6"/>
      <c r="L957" s="6"/>
      <c r="M957" s="6"/>
      <c r="N957" s="6"/>
    </row>
    <row r="958">
      <c r="A958" s="281"/>
      <c r="B958" s="282"/>
      <c r="C958" s="278"/>
      <c r="D958" s="284"/>
      <c r="E958" s="285"/>
      <c r="F958" s="271"/>
      <c r="G958" s="272"/>
      <c r="H958" s="273"/>
      <c r="I958" s="274"/>
      <c r="J958" s="6"/>
      <c r="K958" s="6"/>
      <c r="L958" s="6"/>
      <c r="M958" s="6"/>
      <c r="N958" s="6"/>
    </row>
    <row r="959">
      <c r="A959" s="281"/>
      <c r="B959" s="282"/>
      <c r="C959" s="278"/>
      <c r="D959" s="284"/>
      <c r="E959" s="285"/>
      <c r="F959" s="271"/>
      <c r="G959" s="272"/>
      <c r="H959" s="273"/>
      <c r="I959" s="274"/>
      <c r="J959" s="6"/>
      <c r="K959" s="6"/>
      <c r="L959" s="6"/>
      <c r="M959" s="6"/>
      <c r="N959" s="6"/>
    </row>
    <row r="960">
      <c r="A960" s="281"/>
      <c r="B960" s="282"/>
      <c r="C960" s="278"/>
      <c r="D960" s="284"/>
      <c r="E960" s="285"/>
      <c r="F960" s="271"/>
      <c r="G960" s="272"/>
      <c r="H960" s="273"/>
      <c r="I960" s="274"/>
      <c r="J960" s="6"/>
      <c r="K960" s="6"/>
      <c r="L960" s="6"/>
      <c r="M960" s="6"/>
      <c r="N960" s="6"/>
    </row>
    <row r="961">
      <c r="A961" s="281"/>
      <c r="B961" s="282"/>
      <c r="C961" s="278"/>
      <c r="D961" s="284"/>
      <c r="E961" s="285"/>
      <c r="F961" s="271"/>
      <c r="G961" s="272"/>
      <c r="H961" s="273"/>
      <c r="I961" s="274"/>
      <c r="J961" s="6"/>
      <c r="K961" s="6"/>
      <c r="L961" s="6"/>
      <c r="M961" s="6"/>
      <c r="N961" s="6"/>
    </row>
    <row r="962">
      <c r="A962" s="281"/>
      <c r="B962" s="282"/>
      <c r="C962" s="278"/>
      <c r="D962" s="284"/>
      <c r="E962" s="285"/>
      <c r="F962" s="271"/>
      <c r="G962" s="272"/>
      <c r="H962" s="273"/>
      <c r="I962" s="274"/>
      <c r="J962" s="6"/>
      <c r="K962" s="6"/>
      <c r="L962" s="6"/>
      <c r="M962" s="6"/>
      <c r="N962" s="6"/>
    </row>
    <row r="963">
      <c r="A963" s="281"/>
      <c r="B963" s="282"/>
      <c r="C963" s="278"/>
      <c r="D963" s="284"/>
      <c r="E963" s="285"/>
      <c r="F963" s="271"/>
      <c r="G963" s="272"/>
      <c r="H963" s="273"/>
      <c r="I963" s="274"/>
      <c r="J963" s="6"/>
      <c r="K963" s="6"/>
      <c r="L963" s="6"/>
      <c r="M963" s="6"/>
      <c r="N963" s="6"/>
    </row>
    <row r="964">
      <c r="A964" s="281"/>
      <c r="B964" s="282"/>
      <c r="C964" s="278"/>
      <c r="D964" s="284"/>
      <c r="E964" s="285"/>
      <c r="F964" s="271"/>
      <c r="G964" s="272"/>
      <c r="H964" s="273"/>
      <c r="I964" s="274"/>
      <c r="J964" s="6"/>
      <c r="K964" s="6"/>
      <c r="L964" s="6"/>
      <c r="M964" s="6"/>
      <c r="N964" s="6"/>
    </row>
    <row r="965">
      <c r="A965" s="281"/>
      <c r="B965" s="282"/>
      <c r="C965" s="278"/>
      <c r="D965" s="284"/>
      <c r="E965" s="285"/>
      <c r="F965" s="271"/>
      <c r="G965" s="272"/>
      <c r="H965" s="273"/>
      <c r="I965" s="274"/>
      <c r="J965" s="6"/>
      <c r="K965" s="6"/>
      <c r="L965" s="6"/>
      <c r="M965" s="6"/>
      <c r="N965" s="6"/>
    </row>
    <row r="966">
      <c r="A966" s="281"/>
      <c r="B966" s="282"/>
      <c r="C966" s="278"/>
      <c r="D966" s="284"/>
      <c r="E966" s="285"/>
      <c r="F966" s="271"/>
      <c r="G966" s="272"/>
      <c r="H966" s="273"/>
      <c r="I966" s="274"/>
      <c r="J966" s="6"/>
      <c r="K966" s="6"/>
      <c r="L966" s="6"/>
      <c r="M966" s="6"/>
      <c r="N966" s="6"/>
    </row>
    <row r="967">
      <c r="A967" s="281"/>
      <c r="B967" s="282"/>
      <c r="C967" s="278"/>
      <c r="D967" s="284"/>
      <c r="E967" s="285"/>
      <c r="F967" s="271"/>
      <c r="G967" s="272"/>
      <c r="H967" s="273"/>
      <c r="I967" s="274"/>
      <c r="J967" s="6"/>
      <c r="K967" s="6"/>
      <c r="L967" s="6"/>
      <c r="M967" s="6"/>
      <c r="N967" s="6"/>
    </row>
    <row r="968">
      <c r="A968" s="281"/>
      <c r="B968" s="282"/>
      <c r="C968" s="278"/>
      <c r="D968" s="284"/>
      <c r="E968" s="285"/>
      <c r="F968" s="271"/>
      <c r="G968" s="272"/>
      <c r="H968" s="273"/>
      <c r="I968" s="274"/>
      <c r="J968" s="6"/>
      <c r="K968" s="6"/>
      <c r="L968" s="6"/>
      <c r="M968" s="6"/>
      <c r="N968" s="6"/>
    </row>
    <row r="969">
      <c r="A969" s="281"/>
      <c r="B969" s="282"/>
      <c r="C969" s="278"/>
      <c r="D969" s="284"/>
      <c r="E969" s="285"/>
      <c r="F969" s="271"/>
      <c r="G969" s="272"/>
      <c r="H969" s="273"/>
      <c r="I969" s="274"/>
      <c r="J969" s="6"/>
      <c r="K969" s="6"/>
      <c r="L969" s="6"/>
      <c r="M969" s="6"/>
      <c r="N969" s="6"/>
    </row>
    <row r="970">
      <c r="A970" s="281"/>
      <c r="B970" s="282"/>
      <c r="C970" s="278"/>
      <c r="D970" s="284"/>
      <c r="E970" s="285"/>
      <c r="F970" s="271"/>
      <c r="G970" s="272"/>
      <c r="H970" s="273"/>
      <c r="I970" s="274"/>
      <c r="J970" s="6"/>
      <c r="K970" s="6"/>
      <c r="L970" s="6"/>
      <c r="M970" s="6"/>
      <c r="N970" s="6"/>
    </row>
    <row r="971">
      <c r="A971" s="281"/>
      <c r="B971" s="282"/>
      <c r="C971" s="278"/>
      <c r="D971" s="284"/>
      <c r="E971" s="285"/>
      <c r="F971" s="271"/>
      <c r="G971" s="272"/>
      <c r="H971" s="273"/>
      <c r="I971" s="274"/>
      <c r="J971" s="6"/>
      <c r="K971" s="6"/>
      <c r="L971" s="6"/>
      <c r="M971" s="6"/>
      <c r="N971" s="6"/>
    </row>
    <row r="972">
      <c r="A972" s="281"/>
      <c r="B972" s="282"/>
      <c r="C972" s="278"/>
      <c r="D972" s="284"/>
      <c r="E972" s="285"/>
      <c r="F972" s="271"/>
      <c r="G972" s="272"/>
      <c r="H972" s="273"/>
      <c r="I972" s="274"/>
      <c r="J972" s="6"/>
      <c r="K972" s="6"/>
      <c r="L972" s="6"/>
      <c r="M972" s="6"/>
      <c r="N972" s="6"/>
    </row>
    <row r="973">
      <c r="A973" s="281"/>
      <c r="B973" s="282"/>
      <c r="C973" s="278"/>
      <c r="D973" s="284"/>
      <c r="E973" s="285"/>
      <c r="F973" s="271"/>
      <c r="G973" s="272"/>
      <c r="H973" s="273"/>
      <c r="I973" s="274"/>
      <c r="J973" s="6"/>
      <c r="K973" s="6"/>
      <c r="L973" s="6"/>
      <c r="M973" s="6"/>
      <c r="N973" s="6"/>
    </row>
    <row r="974">
      <c r="A974" s="281"/>
      <c r="B974" s="282"/>
      <c r="C974" s="278"/>
      <c r="D974" s="284"/>
      <c r="E974" s="285"/>
      <c r="F974" s="271"/>
      <c r="G974" s="272"/>
      <c r="H974" s="273"/>
      <c r="I974" s="274"/>
      <c r="J974" s="6"/>
      <c r="K974" s="6"/>
      <c r="L974" s="6"/>
      <c r="M974" s="6"/>
      <c r="N974" s="6"/>
    </row>
    <row r="975">
      <c r="A975" s="281"/>
      <c r="B975" s="282"/>
      <c r="C975" s="278"/>
      <c r="D975" s="284"/>
      <c r="E975" s="285"/>
      <c r="F975" s="271"/>
      <c r="G975" s="272"/>
      <c r="H975" s="273"/>
      <c r="I975" s="274"/>
      <c r="J975" s="6"/>
      <c r="K975" s="6"/>
      <c r="L975" s="6"/>
      <c r="M975" s="6"/>
      <c r="N975" s="6"/>
    </row>
    <row r="976">
      <c r="A976" s="281"/>
      <c r="B976" s="282"/>
      <c r="C976" s="278"/>
      <c r="D976" s="284"/>
      <c r="E976" s="285"/>
      <c r="F976" s="271"/>
      <c r="G976" s="272"/>
      <c r="H976" s="273"/>
      <c r="I976" s="274"/>
      <c r="J976" s="6"/>
      <c r="K976" s="6"/>
      <c r="L976" s="6"/>
      <c r="M976" s="6"/>
      <c r="N976" s="6"/>
    </row>
    <row r="977">
      <c r="A977" s="281"/>
      <c r="B977" s="282"/>
      <c r="C977" s="278"/>
      <c r="D977" s="284"/>
      <c r="E977" s="285"/>
      <c r="F977" s="271"/>
      <c r="G977" s="272"/>
      <c r="H977" s="273"/>
      <c r="I977" s="274"/>
      <c r="J977" s="6"/>
      <c r="K977" s="6"/>
      <c r="L977" s="6"/>
      <c r="M977" s="6"/>
      <c r="N977" s="6"/>
    </row>
    <row r="978">
      <c r="A978" s="281"/>
      <c r="B978" s="282"/>
      <c r="C978" s="278"/>
      <c r="D978" s="284"/>
      <c r="E978" s="285"/>
      <c r="F978" s="271"/>
      <c r="G978" s="272"/>
      <c r="H978" s="273"/>
      <c r="I978" s="274"/>
      <c r="J978" s="6"/>
      <c r="K978" s="6"/>
      <c r="L978" s="6"/>
      <c r="M978" s="6"/>
      <c r="N978" s="6"/>
    </row>
    <row r="979">
      <c r="A979" s="281"/>
      <c r="B979" s="282"/>
      <c r="C979" s="278"/>
      <c r="D979" s="284"/>
      <c r="E979" s="285"/>
      <c r="F979" s="271"/>
      <c r="G979" s="272"/>
      <c r="H979" s="273"/>
      <c r="I979" s="274"/>
      <c r="J979" s="6"/>
      <c r="K979" s="6"/>
      <c r="L979" s="6"/>
      <c r="M979" s="6"/>
      <c r="N979" s="6"/>
    </row>
    <row r="980">
      <c r="A980" s="281"/>
      <c r="B980" s="282"/>
      <c r="C980" s="278"/>
      <c r="D980" s="284"/>
      <c r="E980" s="285"/>
      <c r="F980" s="271"/>
      <c r="G980" s="272"/>
      <c r="H980" s="273"/>
      <c r="I980" s="274"/>
      <c r="J980" s="6"/>
      <c r="K980" s="6"/>
      <c r="L980" s="6"/>
      <c r="M980" s="6"/>
      <c r="N980" s="6"/>
    </row>
    <row r="981">
      <c r="A981" s="281"/>
      <c r="B981" s="282"/>
      <c r="C981" s="278"/>
      <c r="D981" s="284"/>
      <c r="E981" s="285"/>
      <c r="F981" s="271"/>
      <c r="G981" s="272"/>
      <c r="H981" s="273"/>
      <c r="I981" s="274"/>
      <c r="J981" s="6"/>
      <c r="K981" s="6"/>
      <c r="L981" s="6"/>
      <c r="M981" s="6"/>
      <c r="N981" s="6"/>
    </row>
    <row r="982">
      <c r="A982" s="281"/>
      <c r="B982" s="282"/>
      <c r="C982" s="278"/>
      <c r="D982" s="284"/>
      <c r="E982" s="285"/>
      <c r="F982" s="271"/>
      <c r="G982" s="272"/>
      <c r="H982" s="273"/>
      <c r="I982" s="274"/>
      <c r="J982" s="6"/>
      <c r="K982" s="6"/>
      <c r="L982" s="6"/>
      <c r="M982" s="6"/>
      <c r="N982" s="6"/>
    </row>
    <row r="983">
      <c r="A983" s="281"/>
      <c r="B983" s="282"/>
      <c r="C983" s="278"/>
      <c r="D983" s="284"/>
      <c r="E983" s="285"/>
      <c r="F983" s="271"/>
      <c r="G983" s="272"/>
      <c r="H983" s="273"/>
      <c r="I983" s="274"/>
      <c r="J983" s="6"/>
      <c r="K983" s="6"/>
      <c r="L983" s="6"/>
      <c r="M983" s="6"/>
      <c r="N983" s="6"/>
    </row>
    <row r="984">
      <c r="A984" s="281"/>
      <c r="B984" s="282"/>
      <c r="C984" s="278"/>
      <c r="D984" s="284"/>
      <c r="E984" s="285"/>
      <c r="F984" s="271"/>
      <c r="G984" s="272"/>
      <c r="H984" s="273"/>
      <c r="I984" s="274"/>
      <c r="J984" s="6"/>
      <c r="K984" s="6"/>
      <c r="L984" s="6"/>
      <c r="M984" s="6"/>
      <c r="N984" s="6"/>
    </row>
    <row r="985">
      <c r="A985" s="281"/>
      <c r="B985" s="282"/>
      <c r="C985" s="278"/>
      <c r="D985" s="284"/>
      <c r="E985" s="285"/>
      <c r="F985" s="271"/>
      <c r="G985" s="272"/>
      <c r="H985" s="273"/>
      <c r="I985" s="274"/>
      <c r="J985" s="6"/>
      <c r="K985" s="6"/>
      <c r="L985" s="6"/>
      <c r="M985" s="6"/>
      <c r="N985" s="6"/>
    </row>
    <row r="986">
      <c r="A986" s="281"/>
      <c r="B986" s="282"/>
      <c r="C986" s="278"/>
      <c r="D986" s="284"/>
      <c r="E986" s="285"/>
      <c r="F986" s="271"/>
      <c r="G986" s="272"/>
      <c r="H986" s="273"/>
      <c r="I986" s="274"/>
      <c r="J986" s="6"/>
      <c r="K986" s="6"/>
      <c r="L986" s="6"/>
      <c r="M986" s="6"/>
      <c r="N986" s="6"/>
    </row>
    <row r="987">
      <c r="A987" s="281"/>
      <c r="B987" s="282"/>
      <c r="C987" s="278"/>
      <c r="D987" s="284"/>
      <c r="E987" s="285"/>
      <c r="F987" s="271"/>
      <c r="G987" s="272"/>
      <c r="H987" s="273"/>
      <c r="I987" s="274"/>
      <c r="J987" s="6"/>
      <c r="K987" s="6"/>
      <c r="L987" s="6"/>
      <c r="M987" s="6"/>
      <c r="N987" s="6"/>
    </row>
    <row r="988">
      <c r="A988" s="281"/>
      <c r="B988" s="282"/>
      <c r="C988" s="278"/>
      <c r="D988" s="284"/>
      <c r="E988" s="285"/>
      <c r="F988" s="271"/>
      <c r="G988" s="272"/>
      <c r="H988" s="273"/>
      <c r="I988" s="274"/>
      <c r="J988" s="6"/>
      <c r="K988" s="6"/>
      <c r="L988" s="6"/>
      <c r="M988" s="6"/>
      <c r="N988" s="6"/>
    </row>
    <row r="989">
      <c r="A989" s="281"/>
      <c r="B989" s="282"/>
      <c r="C989" s="278"/>
      <c r="D989" s="284"/>
      <c r="E989" s="285"/>
      <c r="F989" s="271"/>
      <c r="G989" s="272"/>
      <c r="H989" s="273"/>
      <c r="I989" s="274"/>
      <c r="J989" s="6"/>
      <c r="K989" s="6"/>
      <c r="L989" s="6"/>
      <c r="M989" s="6"/>
      <c r="N989" s="6"/>
    </row>
    <row r="990">
      <c r="A990" s="281"/>
      <c r="B990" s="282"/>
      <c r="C990" s="278"/>
      <c r="D990" s="284"/>
      <c r="E990" s="285"/>
      <c r="F990" s="271"/>
      <c r="G990" s="272"/>
      <c r="H990" s="273"/>
      <c r="I990" s="274"/>
      <c r="J990" s="6"/>
      <c r="K990" s="6"/>
      <c r="L990" s="6"/>
      <c r="M990" s="6"/>
      <c r="N990" s="6"/>
    </row>
    <row r="991">
      <c r="A991" s="281"/>
      <c r="B991" s="282"/>
      <c r="C991" s="278"/>
      <c r="D991" s="284"/>
      <c r="E991" s="285"/>
      <c r="F991" s="271"/>
      <c r="G991" s="272"/>
      <c r="H991" s="273"/>
      <c r="I991" s="274"/>
      <c r="J991" s="6"/>
      <c r="K991" s="6"/>
      <c r="L991" s="6"/>
      <c r="M991" s="6"/>
      <c r="N991" s="6"/>
    </row>
    <row r="992">
      <c r="A992" s="281"/>
      <c r="B992" s="282"/>
      <c r="C992" s="278"/>
      <c r="D992" s="284"/>
      <c r="E992" s="285"/>
      <c r="F992" s="271"/>
      <c r="G992" s="272"/>
      <c r="H992" s="273"/>
      <c r="I992" s="274"/>
      <c r="J992" s="6"/>
      <c r="K992" s="6"/>
      <c r="L992" s="6"/>
      <c r="M992" s="6"/>
      <c r="N992" s="6"/>
    </row>
    <row r="993">
      <c r="A993" s="281"/>
      <c r="B993" s="282"/>
      <c r="C993" s="278"/>
      <c r="D993" s="284"/>
      <c r="E993" s="285"/>
      <c r="F993" s="271"/>
      <c r="G993" s="272"/>
      <c r="H993" s="273"/>
      <c r="I993" s="274"/>
      <c r="J993" s="6"/>
      <c r="K993" s="6"/>
      <c r="L993" s="6"/>
      <c r="M993" s="6"/>
      <c r="N993" s="6"/>
    </row>
    <row r="994">
      <c r="A994" s="281"/>
      <c r="B994" s="282"/>
      <c r="C994" s="278"/>
      <c r="D994" s="284"/>
      <c r="E994" s="285"/>
      <c r="F994" s="271"/>
      <c r="G994" s="272"/>
      <c r="H994" s="273"/>
      <c r="I994" s="274"/>
      <c r="J994" s="6"/>
      <c r="K994" s="6"/>
      <c r="L994" s="6"/>
      <c r="M994" s="6"/>
      <c r="N994" s="6"/>
    </row>
    <row r="995">
      <c r="A995" s="281"/>
      <c r="B995" s="282"/>
      <c r="C995" s="278"/>
      <c r="D995" s="284"/>
      <c r="E995" s="285"/>
      <c r="F995" s="271"/>
      <c r="G995" s="272"/>
      <c r="H995" s="273"/>
      <c r="I995" s="274"/>
      <c r="J995" s="6"/>
      <c r="K995" s="6"/>
      <c r="L995" s="6"/>
      <c r="M995" s="6"/>
      <c r="N995" s="6"/>
    </row>
    <row r="996">
      <c r="A996" s="281"/>
      <c r="B996" s="282"/>
      <c r="C996" s="278"/>
      <c r="D996" s="284"/>
      <c r="E996" s="285"/>
      <c r="F996" s="271"/>
      <c r="G996" s="272"/>
      <c r="H996" s="273"/>
      <c r="I996" s="274"/>
      <c r="J996" s="6"/>
      <c r="K996" s="6"/>
      <c r="L996" s="6"/>
      <c r="M996" s="6"/>
      <c r="N996" s="6"/>
    </row>
    <row r="997">
      <c r="A997" s="281"/>
      <c r="B997" s="282"/>
      <c r="C997" s="278"/>
      <c r="D997" s="284"/>
      <c r="E997" s="285"/>
      <c r="F997" s="271"/>
      <c r="G997" s="272"/>
      <c r="H997" s="273"/>
      <c r="I997" s="274"/>
      <c r="J997" s="6"/>
      <c r="K997" s="6"/>
      <c r="L997" s="6"/>
      <c r="M997" s="6"/>
      <c r="N997" s="6"/>
    </row>
    <row r="998">
      <c r="A998" s="281"/>
      <c r="B998" s="282"/>
      <c r="C998" s="278"/>
      <c r="D998" s="284"/>
      <c r="E998" s="285"/>
      <c r="F998" s="271"/>
      <c r="G998" s="272"/>
      <c r="H998" s="273"/>
      <c r="I998" s="274"/>
      <c r="J998" s="6"/>
      <c r="K998" s="6"/>
      <c r="L998" s="6"/>
      <c r="M998" s="6"/>
      <c r="N998" s="6"/>
    </row>
    <row r="999">
      <c r="A999" s="281"/>
      <c r="B999" s="282"/>
      <c r="C999" s="278"/>
      <c r="D999" s="284"/>
      <c r="E999" s="285"/>
      <c r="F999" s="271"/>
      <c r="G999" s="272"/>
      <c r="H999" s="273"/>
      <c r="I999" s="274"/>
      <c r="J999" s="6"/>
      <c r="K999" s="6"/>
      <c r="L999" s="6"/>
      <c r="M999" s="6"/>
      <c r="N999" s="6"/>
    </row>
    <row r="1000">
      <c r="A1000" s="281"/>
      <c r="B1000" s="282"/>
      <c r="C1000" s="278"/>
      <c r="D1000" s="284"/>
      <c r="E1000" s="285"/>
      <c r="F1000" s="271"/>
      <c r="G1000" s="272"/>
      <c r="H1000" s="273"/>
      <c r="I1000" s="274"/>
      <c r="J1000" s="6"/>
      <c r="K1000" s="6"/>
      <c r="L1000" s="6"/>
      <c r="M1000" s="6"/>
      <c r="N1000" s="6"/>
    </row>
    <row r="1001">
      <c r="A1001" s="281"/>
      <c r="B1001" s="282"/>
      <c r="C1001" s="278"/>
      <c r="D1001" s="284"/>
      <c r="E1001" s="285"/>
      <c r="F1001" s="271"/>
      <c r="G1001" s="272"/>
      <c r="H1001" s="273"/>
      <c r="I1001" s="274"/>
      <c r="J1001" s="6"/>
      <c r="K1001" s="6"/>
      <c r="L1001" s="6"/>
      <c r="M1001" s="6"/>
      <c r="N1001" s="6"/>
    </row>
    <row r="1002">
      <c r="A1002" s="281"/>
      <c r="B1002" s="282"/>
      <c r="C1002" s="278"/>
      <c r="D1002" s="284"/>
      <c r="E1002" s="285"/>
      <c r="F1002" s="271"/>
      <c r="G1002" s="272"/>
      <c r="H1002" s="273"/>
      <c r="I1002" s="274"/>
      <c r="J1002" s="6"/>
      <c r="K1002" s="6"/>
      <c r="L1002" s="6"/>
      <c r="M1002" s="6"/>
      <c r="N1002" s="6"/>
    </row>
    <row r="1003">
      <c r="A1003" s="281"/>
      <c r="B1003" s="282"/>
      <c r="C1003" s="278"/>
      <c r="D1003" s="284"/>
      <c r="E1003" s="285"/>
      <c r="F1003" s="271"/>
      <c r="G1003" s="272"/>
      <c r="H1003" s="273"/>
      <c r="I1003" s="274"/>
      <c r="J1003" s="6"/>
      <c r="K1003" s="6"/>
      <c r="L1003" s="6"/>
      <c r="M1003" s="6"/>
      <c r="N1003" s="6"/>
    </row>
    <row r="1004">
      <c r="A1004" s="281"/>
      <c r="B1004" s="282"/>
      <c r="C1004" s="278"/>
      <c r="D1004" s="284"/>
      <c r="E1004" s="285"/>
      <c r="F1004" s="271"/>
      <c r="G1004" s="272"/>
      <c r="H1004" s="273"/>
      <c r="I1004" s="274"/>
      <c r="J1004" s="6"/>
      <c r="K1004" s="6"/>
      <c r="L1004" s="6"/>
      <c r="M1004" s="6"/>
      <c r="N1004" s="6"/>
    </row>
    <row r="1005">
      <c r="A1005" s="281"/>
      <c r="B1005" s="282"/>
      <c r="C1005" s="278"/>
      <c r="D1005" s="284"/>
      <c r="E1005" s="285"/>
      <c r="F1005" s="271"/>
      <c r="G1005" s="272"/>
      <c r="H1005" s="273"/>
      <c r="I1005" s="274"/>
      <c r="J1005" s="6"/>
      <c r="K1005" s="6"/>
      <c r="L1005" s="6"/>
      <c r="M1005" s="6"/>
      <c r="N1005" s="6"/>
    </row>
    <row r="1006">
      <c r="A1006" s="281"/>
      <c r="B1006" s="282"/>
      <c r="C1006" s="278"/>
      <c r="D1006" s="284"/>
      <c r="E1006" s="285"/>
      <c r="F1006" s="271"/>
      <c r="G1006" s="272"/>
      <c r="H1006" s="273"/>
      <c r="I1006" s="274"/>
      <c r="J1006" s="6"/>
      <c r="K1006" s="6"/>
      <c r="L1006" s="6"/>
      <c r="M1006" s="6"/>
      <c r="N1006" s="6"/>
    </row>
    <row r="1007">
      <c r="A1007" s="281"/>
      <c r="B1007" s="282"/>
      <c r="C1007" s="278"/>
      <c r="D1007" s="284"/>
      <c r="E1007" s="285"/>
      <c r="F1007" s="271"/>
      <c r="G1007" s="272"/>
      <c r="H1007" s="273"/>
      <c r="I1007" s="274"/>
      <c r="J1007" s="6"/>
      <c r="K1007" s="6"/>
      <c r="L1007" s="6"/>
      <c r="M1007" s="6"/>
      <c r="N1007" s="6"/>
    </row>
    <row r="1008">
      <c r="A1008" s="281"/>
      <c r="B1008" s="282"/>
      <c r="C1008" s="278"/>
      <c r="D1008" s="284"/>
      <c r="E1008" s="285"/>
      <c r="F1008" s="271"/>
      <c r="G1008" s="272"/>
      <c r="H1008" s="273"/>
      <c r="I1008" s="274"/>
      <c r="J1008" s="6"/>
      <c r="K1008" s="6"/>
      <c r="L1008" s="6"/>
      <c r="M1008" s="6"/>
      <c r="N1008" s="6"/>
    </row>
    <row r="1009">
      <c r="A1009" s="281"/>
      <c r="B1009" s="282"/>
      <c r="C1009" s="278"/>
      <c r="D1009" s="284"/>
      <c r="E1009" s="285"/>
      <c r="F1009" s="271"/>
      <c r="G1009" s="272"/>
      <c r="H1009" s="273"/>
      <c r="I1009" s="274"/>
      <c r="J1009" s="6"/>
      <c r="K1009" s="6"/>
      <c r="L1009" s="6"/>
      <c r="M1009" s="6"/>
      <c r="N1009" s="6"/>
    </row>
  </sheetData>
  <mergeCells count="85">
    <mergeCell ref="C6:I6"/>
    <mergeCell ref="C7:I7"/>
    <mergeCell ref="C8:I8"/>
    <mergeCell ref="C9:I9"/>
    <mergeCell ref="C10:I10"/>
    <mergeCell ref="C11:I11"/>
    <mergeCell ref="C12:I12"/>
    <mergeCell ref="C13:I13"/>
    <mergeCell ref="C14:I14"/>
    <mergeCell ref="C15:I15"/>
    <mergeCell ref="C16:I16"/>
    <mergeCell ref="C17:I17"/>
    <mergeCell ref="A2:B2"/>
    <mergeCell ref="C2:I2"/>
    <mergeCell ref="A3:B3"/>
    <mergeCell ref="A4:B4"/>
    <mergeCell ref="A5:A6"/>
    <mergeCell ref="C5:I5"/>
    <mergeCell ref="A7:A17"/>
    <mergeCell ref="C38:I38"/>
    <mergeCell ref="C39:I39"/>
    <mergeCell ref="A25:B25"/>
    <mergeCell ref="C25:I25"/>
    <mergeCell ref="A26:B26"/>
    <mergeCell ref="A28:A29"/>
    <mergeCell ref="C28:I28"/>
    <mergeCell ref="C29:I29"/>
    <mergeCell ref="C40:I40"/>
    <mergeCell ref="C53:I53"/>
    <mergeCell ref="C54:I54"/>
    <mergeCell ref="C46:I46"/>
    <mergeCell ref="C47:I47"/>
    <mergeCell ref="A48:B48"/>
    <mergeCell ref="C48:I48"/>
    <mergeCell ref="A49:B49"/>
    <mergeCell ref="C51:I51"/>
    <mergeCell ref="C52:I52"/>
    <mergeCell ref="C62:I62"/>
    <mergeCell ref="C63:I63"/>
    <mergeCell ref="C55:I55"/>
    <mergeCell ref="C56:I56"/>
    <mergeCell ref="C57:I57"/>
    <mergeCell ref="C58:I58"/>
    <mergeCell ref="C59:I59"/>
    <mergeCell ref="C60:I60"/>
    <mergeCell ref="C61:I61"/>
    <mergeCell ref="C36:I36"/>
    <mergeCell ref="C37:I37"/>
    <mergeCell ref="C41:I41"/>
    <mergeCell ref="C42:I42"/>
    <mergeCell ref="C43:I43"/>
    <mergeCell ref="C44:I44"/>
    <mergeCell ref="C45:I45"/>
    <mergeCell ref="C64:I64"/>
    <mergeCell ref="C65:I65"/>
    <mergeCell ref="C66:I66"/>
    <mergeCell ref="C67:I67"/>
    <mergeCell ref="C68:I68"/>
    <mergeCell ref="C69:I69"/>
    <mergeCell ref="C70:I70"/>
    <mergeCell ref="C23:I23"/>
    <mergeCell ref="C24:I24"/>
    <mergeCell ref="A18:A22"/>
    <mergeCell ref="C18:I18"/>
    <mergeCell ref="C19:I19"/>
    <mergeCell ref="C20:I20"/>
    <mergeCell ref="C21:I21"/>
    <mergeCell ref="C22:I22"/>
    <mergeCell ref="A23:A24"/>
    <mergeCell ref="C30:I30"/>
    <mergeCell ref="C31:I31"/>
    <mergeCell ref="C32:I32"/>
    <mergeCell ref="C33:I33"/>
    <mergeCell ref="C34:I34"/>
    <mergeCell ref="C35:I35"/>
    <mergeCell ref="A30:A40"/>
    <mergeCell ref="A41:A45"/>
    <mergeCell ref="A46:A47"/>
    <mergeCell ref="A51:A52"/>
    <mergeCell ref="A53:A63"/>
    <mergeCell ref="A64:A68"/>
    <mergeCell ref="A69:A70"/>
    <mergeCell ref="C82:E82"/>
    <mergeCell ref="C94:E94"/>
    <mergeCell ref="C106:E10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14.0"/>
    <col customWidth="1" min="3" max="13" width="14.5"/>
    <col customWidth="1" min="14" max="14" width="15.5"/>
    <col customWidth="1" min="15" max="24" width="12.13"/>
    <col customWidth="1" min="25" max="29" width="7.63"/>
  </cols>
  <sheetData>
    <row r="1" ht="78.0" customHeight="1">
      <c r="A1" s="286" t="s">
        <v>145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6"/>
    </row>
    <row r="2" ht="34.5" customHeight="1">
      <c r="A2" s="287" t="s">
        <v>146</v>
      </c>
      <c r="B2" s="287" t="s">
        <v>32</v>
      </c>
      <c r="C2" s="287" t="s">
        <v>147</v>
      </c>
      <c r="D2" s="288" t="s">
        <v>148</v>
      </c>
      <c r="E2" s="287" t="s">
        <v>149</v>
      </c>
      <c r="F2" s="287" t="s">
        <v>150</v>
      </c>
      <c r="G2" s="287" t="s">
        <v>36</v>
      </c>
      <c r="H2" s="288" t="s">
        <v>151</v>
      </c>
      <c r="I2" s="287" t="s">
        <v>37</v>
      </c>
      <c r="J2" s="287" t="s">
        <v>152</v>
      </c>
      <c r="K2" s="287" t="s">
        <v>153</v>
      </c>
      <c r="L2" s="289" t="s">
        <v>154</v>
      </c>
      <c r="M2" s="287"/>
      <c r="N2" s="287" t="s">
        <v>7</v>
      </c>
      <c r="O2" s="6"/>
    </row>
    <row r="3" ht="24.75" hidden="1" customHeight="1">
      <c r="A3" s="290" t="s">
        <v>155</v>
      </c>
      <c r="B3" s="291">
        <v>0.3</v>
      </c>
      <c r="C3" s="291"/>
      <c r="D3" s="291">
        <v>0.15</v>
      </c>
      <c r="E3" s="291">
        <v>0.1</v>
      </c>
      <c r="F3" s="291">
        <v>0.05</v>
      </c>
      <c r="G3" s="291">
        <v>0.1</v>
      </c>
      <c r="H3" s="291">
        <v>0.05</v>
      </c>
      <c r="I3" s="291">
        <v>0.1</v>
      </c>
      <c r="J3" s="291">
        <v>0.1</v>
      </c>
      <c r="K3" s="291"/>
      <c r="L3" s="291">
        <v>0.05</v>
      </c>
      <c r="M3" s="292"/>
      <c r="N3" s="293">
        <f t="shared" ref="N3:N28" si="1">SUM(B3:L3)</f>
        <v>1</v>
      </c>
      <c r="O3" s="6"/>
    </row>
    <row r="4" ht="24.75" hidden="1" customHeight="1">
      <c r="A4" s="294" t="s">
        <v>156</v>
      </c>
      <c r="B4" s="295">
        <v>0.3</v>
      </c>
      <c r="C4" s="295"/>
      <c r="D4" s="295">
        <v>0.1</v>
      </c>
      <c r="E4" s="295">
        <v>0.1</v>
      </c>
      <c r="F4" s="295">
        <v>0.1</v>
      </c>
      <c r="G4" s="295">
        <v>0.1</v>
      </c>
      <c r="H4" s="295">
        <v>0.05</v>
      </c>
      <c r="I4" s="295"/>
      <c r="J4" s="295">
        <v>0.1</v>
      </c>
      <c r="K4" s="295">
        <v>0.1</v>
      </c>
      <c r="L4" s="295">
        <v>0.05</v>
      </c>
      <c r="M4" s="296"/>
      <c r="N4" s="296">
        <f t="shared" si="1"/>
        <v>1</v>
      </c>
      <c r="O4" s="6"/>
    </row>
    <row r="5" ht="24.75" customHeight="1">
      <c r="A5" s="297" t="s">
        <v>110</v>
      </c>
      <c r="B5" s="298">
        <v>0.25</v>
      </c>
      <c r="C5" s="298">
        <v>0.1</v>
      </c>
      <c r="D5" s="298">
        <v>0.1</v>
      </c>
      <c r="E5" s="298">
        <v>0.1</v>
      </c>
      <c r="F5" s="298">
        <v>0.05</v>
      </c>
      <c r="G5" s="298">
        <v>0.1</v>
      </c>
      <c r="H5" s="298">
        <v>0.05</v>
      </c>
      <c r="I5" s="298"/>
      <c r="J5" s="298">
        <v>0.1</v>
      </c>
      <c r="K5" s="298">
        <v>0.1</v>
      </c>
      <c r="L5" s="298">
        <v>0.05</v>
      </c>
      <c r="M5" s="299"/>
      <c r="N5" s="299">
        <f t="shared" si="1"/>
        <v>1</v>
      </c>
      <c r="O5" s="6"/>
    </row>
    <row r="6" ht="24.75" customHeight="1">
      <c r="A6" s="294" t="s">
        <v>114</v>
      </c>
      <c r="B6" s="295">
        <v>0.2</v>
      </c>
      <c r="C6" s="295"/>
      <c r="D6" s="295">
        <v>0.15</v>
      </c>
      <c r="E6" s="295">
        <v>0.1</v>
      </c>
      <c r="F6" s="295">
        <v>0.05</v>
      </c>
      <c r="G6" s="295">
        <v>0.15</v>
      </c>
      <c r="H6" s="295">
        <v>0.05</v>
      </c>
      <c r="I6" s="295">
        <v>0.1</v>
      </c>
      <c r="J6" s="295">
        <v>0.1</v>
      </c>
      <c r="K6" s="295">
        <v>0.05</v>
      </c>
      <c r="L6" s="295">
        <v>0.05</v>
      </c>
      <c r="M6" s="296"/>
      <c r="N6" s="296">
        <f t="shared" si="1"/>
        <v>1</v>
      </c>
      <c r="O6" s="6"/>
    </row>
    <row r="7" ht="24.75" customHeight="1">
      <c r="A7" s="297" t="s">
        <v>157</v>
      </c>
      <c r="B7" s="298">
        <v>0.25</v>
      </c>
      <c r="C7" s="298"/>
      <c r="D7" s="298"/>
      <c r="E7" s="298">
        <v>0.1</v>
      </c>
      <c r="F7" s="298">
        <v>0.1</v>
      </c>
      <c r="G7" s="298">
        <v>0.15</v>
      </c>
      <c r="H7" s="298">
        <v>0.15</v>
      </c>
      <c r="I7" s="298"/>
      <c r="J7" s="298">
        <v>0.1</v>
      </c>
      <c r="K7" s="298">
        <v>0.1</v>
      </c>
      <c r="L7" s="298">
        <v>0.05</v>
      </c>
      <c r="M7" s="299"/>
      <c r="N7" s="299">
        <f t="shared" si="1"/>
        <v>1</v>
      </c>
      <c r="O7" s="6"/>
    </row>
    <row r="8" ht="24.75" customHeight="1">
      <c r="A8" s="294" t="s">
        <v>109</v>
      </c>
      <c r="B8" s="295">
        <v>0.1</v>
      </c>
      <c r="C8" s="295"/>
      <c r="D8" s="295">
        <v>0.2</v>
      </c>
      <c r="E8" s="295">
        <v>0.2</v>
      </c>
      <c r="F8" s="295">
        <v>0.05</v>
      </c>
      <c r="G8" s="295">
        <v>0.1</v>
      </c>
      <c r="H8" s="295">
        <v>0.05</v>
      </c>
      <c r="I8" s="295">
        <v>0.1</v>
      </c>
      <c r="J8" s="295">
        <v>0.1</v>
      </c>
      <c r="K8" s="295">
        <v>0.05</v>
      </c>
      <c r="L8" s="295">
        <v>0.05</v>
      </c>
      <c r="M8" s="296"/>
      <c r="N8" s="296">
        <f t="shared" si="1"/>
        <v>1</v>
      </c>
      <c r="O8" s="6"/>
    </row>
    <row r="9" ht="24.75" customHeight="1">
      <c r="A9" s="297" t="s">
        <v>158</v>
      </c>
      <c r="B9" s="298">
        <v>0.25</v>
      </c>
      <c r="C9" s="298">
        <v>0.1</v>
      </c>
      <c r="D9" s="298">
        <v>0.1</v>
      </c>
      <c r="E9" s="298">
        <v>0.1</v>
      </c>
      <c r="F9" s="298">
        <v>0.05</v>
      </c>
      <c r="G9" s="298">
        <v>0.1</v>
      </c>
      <c r="H9" s="298">
        <v>0.05</v>
      </c>
      <c r="I9" s="298">
        <v>0.05</v>
      </c>
      <c r="J9" s="298">
        <v>0.1</v>
      </c>
      <c r="K9" s="298">
        <v>0.05</v>
      </c>
      <c r="L9" s="298">
        <v>0.05</v>
      </c>
      <c r="M9" s="299"/>
      <c r="N9" s="299">
        <f t="shared" si="1"/>
        <v>1</v>
      </c>
      <c r="O9" s="6"/>
    </row>
    <row r="10" ht="24.75" hidden="1" customHeight="1">
      <c r="A10" s="294" t="s">
        <v>159</v>
      </c>
      <c r="B10" s="295">
        <v>0.2</v>
      </c>
      <c r="C10" s="295"/>
      <c r="D10" s="295">
        <v>0.15</v>
      </c>
      <c r="E10" s="295">
        <v>0.1</v>
      </c>
      <c r="F10" s="295">
        <v>0.05</v>
      </c>
      <c r="G10" s="295">
        <v>0.15</v>
      </c>
      <c r="H10" s="295">
        <v>0.05</v>
      </c>
      <c r="I10" s="295">
        <v>0.1</v>
      </c>
      <c r="J10" s="295">
        <v>0.1</v>
      </c>
      <c r="K10" s="295">
        <v>0.05</v>
      </c>
      <c r="L10" s="295">
        <v>0.05</v>
      </c>
      <c r="M10" s="296"/>
      <c r="N10" s="296">
        <f t="shared" si="1"/>
        <v>1</v>
      </c>
      <c r="O10" s="6"/>
    </row>
    <row r="11" ht="24.75" customHeight="1">
      <c r="A11" s="300" t="s">
        <v>111</v>
      </c>
      <c r="B11" s="301">
        <v>0.3</v>
      </c>
      <c r="C11" s="301"/>
      <c r="D11" s="301">
        <v>0.15</v>
      </c>
      <c r="E11" s="301">
        <v>0.1</v>
      </c>
      <c r="F11" s="301">
        <v>0.05</v>
      </c>
      <c r="G11" s="301">
        <v>0.1</v>
      </c>
      <c r="H11" s="301">
        <v>0.05</v>
      </c>
      <c r="I11" s="301">
        <v>0.1</v>
      </c>
      <c r="J11" s="301">
        <v>0.1</v>
      </c>
      <c r="K11" s="301"/>
      <c r="L11" s="301">
        <v>0.05</v>
      </c>
      <c r="M11" s="302"/>
      <c r="N11" s="302">
        <f t="shared" si="1"/>
        <v>1</v>
      </c>
      <c r="O11" s="6"/>
    </row>
    <row r="12" ht="24.75" hidden="1" customHeight="1">
      <c r="A12" s="303" t="s">
        <v>160</v>
      </c>
      <c r="B12" s="304">
        <v>0.25</v>
      </c>
      <c r="C12" s="304">
        <v>0.05</v>
      </c>
      <c r="D12" s="304">
        <v>0.1</v>
      </c>
      <c r="E12" s="304">
        <v>0.1</v>
      </c>
      <c r="F12" s="304">
        <v>0.1</v>
      </c>
      <c r="G12" s="304">
        <v>0.1</v>
      </c>
      <c r="H12" s="304">
        <v>0.05</v>
      </c>
      <c r="I12" s="304"/>
      <c r="J12" s="304">
        <v>0.1</v>
      </c>
      <c r="K12" s="304">
        <v>0.1</v>
      </c>
      <c r="L12" s="304">
        <v>0.05</v>
      </c>
      <c r="M12" s="305"/>
      <c r="N12" s="306">
        <f t="shared" si="1"/>
        <v>1</v>
      </c>
      <c r="O12" s="6"/>
    </row>
    <row r="13" ht="24.75" hidden="1" customHeight="1">
      <c r="A13" s="300" t="s">
        <v>161</v>
      </c>
      <c r="B13" s="301">
        <v>0.4</v>
      </c>
      <c r="C13" s="301"/>
      <c r="D13" s="301"/>
      <c r="E13" s="301">
        <v>0.075</v>
      </c>
      <c r="F13" s="301">
        <v>0.1</v>
      </c>
      <c r="G13" s="301">
        <v>0.15</v>
      </c>
      <c r="H13" s="301">
        <v>0.05</v>
      </c>
      <c r="I13" s="301"/>
      <c r="J13" s="301">
        <v>0.1</v>
      </c>
      <c r="K13" s="301">
        <v>0.075</v>
      </c>
      <c r="L13" s="301">
        <v>0.05</v>
      </c>
      <c r="M13" s="302"/>
      <c r="N13" s="302">
        <f t="shared" si="1"/>
        <v>1</v>
      </c>
      <c r="O13" s="6"/>
    </row>
    <row r="14" ht="24.75" hidden="1" customHeight="1">
      <c r="A14" s="307" t="s">
        <v>162</v>
      </c>
      <c r="B14" s="308">
        <v>0.3</v>
      </c>
      <c r="C14" s="308">
        <v>0.1</v>
      </c>
      <c r="D14" s="308">
        <v>0.05</v>
      </c>
      <c r="E14" s="308">
        <v>0.1</v>
      </c>
      <c r="F14" s="308"/>
      <c r="G14" s="308">
        <v>0.1</v>
      </c>
      <c r="H14" s="308">
        <v>0.05</v>
      </c>
      <c r="I14" s="308">
        <v>0.15</v>
      </c>
      <c r="J14" s="308">
        <v>0.1</v>
      </c>
      <c r="K14" s="308"/>
      <c r="L14" s="308">
        <v>0.05</v>
      </c>
      <c r="M14" s="309"/>
      <c r="N14" s="310">
        <f t="shared" si="1"/>
        <v>1</v>
      </c>
      <c r="O14" s="6"/>
    </row>
    <row r="15" ht="24.75" hidden="1" customHeight="1">
      <c r="A15" s="311"/>
      <c r="B15" s="312">
        <v>0.3</v>
      </c>
      <c r="C15" s="312">
        <v>0.1</v>
      </c>
      <c r="D15" s="312">
        <v>0.1</v>
      </c>
      <c r="E15" s="312">
        <v>0.15</v>
      </c>
      <c r="F15" s="312"/>
      <c r="G15" s="312">
        <v>0.1</v>
      </c>
      <c r="H15" s="312">
        <v>0.05</v>
      </c>
      <c r="I15" s="312">
        <v>0.05</v>
      </c>
      <c r="J15" s="312">
        <v>0.1</v>
      </c>
      <c r="K15" s="312"/>
      <c r="L15" s="312">
        <v>0.05</v>
      </c>
      <c r="M15" s="313"/>
      <c r="N15" s="314">
        <f t="shared" si="1"/>
        <v>1</v>
      </c>
      <c r="O15" s="6"/>
    </row>
    <row r="16" ht="24.75" hidden="1" customHeight="1">
      <c r="A16" s="303" t="s">
        <v>163</v>
      </c>
      <c r="B16" s="304">
        <v>0.35</v>
      </c>
      <c r="C16" s="304"/>
      <c r="D16" s="304">
        <v>0.05</v>
      </c>
      <c r="E16" s="304">
        <v>0.1</v>
      </c>
      <c r="F16" s="304">
        <v>0.1</v>
      </c>
      <c r="G16" s="304">
        <v>0.1</v>
      </c>
      <c r="H16" s="304">
        <v>0.05</v>
      </c>
      <c r="I16" s="304"/>
      <c r="J16" s="304">
        <v>0.1</v>
      </c>
      <c r="K16" s="304">
        <v>0.1</v>
      </c>
      <c r="L16" s="304">
        <v>0.05</v>
      </c>
      <c r="M16" s="305"/>
      <c r="N16" s="306">
        <f t="shared" si="1"/>
        <v>1</v>
      </c>
      <c r="O16" s="6"/>
    </row>
    <row r="17" ht="24.75" hidden="1" customHeight="1">
      <c r="A17" s="297" t="s">
        <v>164</v>
      </c>
      <c r="B17" s="298">
        <v>0.25</v>
      </c>
      <c r="C17" s="298"/>
      <c r="D17" s="298"/>
      <c r="E17" s="298">
        <v>0.1</v>
      </c>
      <c r="F17" s="298">
        <v>0.1</v>
      </c>
      <c r="G17" s="298">
        <v>0.15</v>
      </c>
      <c r="H17" s="298">
        <v>0.15</v>
      </c>
      <c r="I17" s="298"/>
      <c r="J17" s="298">
        <v>0.1</v>
      </c>
      <c r="K17" s="298">
        <v>0.1</v>
      </c>
      <c r="L17" s="298">
        <v>0.05</v>
      </c>
      <c r="M17" s="299"/>
      <c r="N17" s="299">
        <f t="shared" si="1"/>
        <v>1</v>
      </c>
      <c r="O17" s="6"/>
    </row>
    <row r="18" ht="24.75" hidden="1" customHeight="1">
      <c r="A18" s="294" t="s">
        <v>165</v>
      </c>
      <c r="B18" s="295">
        <v>0.35</v>
      </c>
      <c r="C18" s="295"/>
      <c r="D18" s="295">
        <v>0.05</v>
      </c>
      <c r="E18" s="295">
        <v>0.1</v>
      </c>
      <c r="F18" s="295">
        <v>0.1</v>
      </c>
      <c r="G18" s="295">
        <v>0.1</v>
      </c>
      <c r="H18" s="295">
        <v>0.05</v>
      </c>
      <c r="I18" s="295">
        <v>0.1</v>
      </c>
      <c r="J18" s="295">
        <v>0.1</v>
      </c>
      <c r="K18" s="295"/>
      <c r="L18" s="295">
        <v>0.05</v>
      </c>
      <c r="M18" s="296"/>
      <c r="N18" s="296">
        <f t="shared" si="1"/>
        <v>1</v>
      </c>
      <c r="O18" s="6"/>
    </row>
    <row r="19" ht="24.75" hidden="1" customHeight="1">
      <c r="A19" s="300" t="s">
        <v>166</v>
      </c>
      <c r="B19" s="301">
        <v>0.35</v>
      </c>
      <c r="C19" s="301"/>
      <c r="D19" s="301">
        <v>0.05</v>
      </c>
      <c r="E19" s="301">
        <v>0.1</v>
      </c>
      <c r="F19" s="301">
        <v>0.1</v>
      </c>
      <c r="G19" s="301">
        <v>0.15</v>
      </c>
      <c r="H19" s="301">
        <v>0.05</v>
      </c>
      <c r="I19" s="301"/>
      <c r="J19" s="301">
        <v>0.1</v>
      </c>
      <c r="K19" s="301">
        <v>0.05</v>
      </c>
      <c r="L19" s="301">
        <v>0.05</v>
      </c>
      <c r="M19" s="302"/>
      <c r="N19" s="302">
        <f t="shared" si="1"/>
        <v>1</v>
      </c>
      <c r="O19" s="6"/>
    </row>
    <row r="20" ht="24.75" hidden="1" customHeight="1">
      <c r="A20" s="307" t="s">
        <v>167</v>
      </c>
      <c r="B20" s="308">
        <v>0.3</v>
      </c>
      <c r="C20" s="308">
        <v>0.1</v>
      </c>
      <c r="D20" s="308"/>
      <c r="E20" s="308">
        <v>0.1</v>
      </c>
      <c r="F20" s="308">
        <v>0.1</v>
      </c>
      <c r="G20" s="308">
        <v>0.15</v>
      </c>
      <c r="H20" s="308">
        <v>0.05</v>
      </c>
      <c r="I20" s="308"/>
      <c r="J20" s="308">
        <v>0.1</v>
      </c>
      <c r="K20" s="308">
        <v>0.05</v>
      </c>
      <c r="L20" s="308">
        <v>0.05</v>
      </c>
      <c r="M20" s="309"/>
      <c r="N20" s="310">
        <f t="shared" si="1"/>
        <v>1</v>
      </c>
      <c r="O20" s="6"/>
    </row>
    <row r="21" ht="24.75" hidden="1" customHeight="1">
      <c r="A21" s="315" t="s">
        <v>168</v>
      </c>
      <c r="B21" s="312">
        <v>0.35</v>
      </c>
      <c r="C21" s="312"/>
      <c r="D21" s="312"/>
      <c r="E21" s="312"/>
      <c r="F21" s="312">
        <v>0.1</v>
      </c>
      <c r="G21" s="312">
        <v>0.15</v>
      </c>
      <c r="H21" s="312">
        <v>0.1</v>
      </c>
      <c r="I21" s="312"/>
      <c r="J21" s="312">
        <v>0.1</v>
      </c>
      <c r="K21" s="312">
        <v>0.15</v>
      </c>
      <c r="L21" s="312">
        <v>0.05</v>
      </c>
      <c r="M21" s="313"/>
      <c r="N21" s="314">
        <f t="shared" si="1"/>
        <v>1</v>
      </c>
      <c r="O21" s="6"/>
    </row>
    <row r="22" ht="24.75" hidden="1" customHeight="1">
      <c r="A22" s="303" t="s">
        <v>169</v>
      </c>
      <c r="B22" s="304">
        <v>0.35</v>
      </c>
      <c r="C22" s="304"/>
      <c r="D22" s="304">
        <v>0.05</v>
      </c>
      <c r="E22" s="304">
        <v>0.05</v>
      </c>
      <c r="F22" s="304">
        <v>0.1</v>
      </c>
      <c r="G22" s="304">
        <v>0.15</v>
      </c>
      <c r="H22" s="304">
        <v>0.05</v>
      </c>
      <c r="I22" s="304"/>
      <c r="J22" s="304">
        <v>0.1</v>
      </c>
      <c r="K22" s="304">
        <v>0.1</v>
      </c>
      <c r="L22" s="304">
        <v>0.05</v>
      </c>
      <c r="M22" s="305"/>
      <c r="N22" s="306">
        <f t="shared" si="1"/>
        <v>1</v>
      </c>
      <c r="O22" s="6"/>
    </row>
    <row r="23" ht="24.75" hidden="1" customHeight="1">
      <c r="A23" s="300" t="s">
        <v>170</v>
      </c>
      <c r="B23" s="301">
        <v>0.35</v>
      </c>
      <c r="C23" s="301"/>
      <c r="D23" s="301">
        <v>0.05</v>
      </c>
      <c r="E23" s="301">
        <v>0.05</v>
      </c>
      <c r="F23" s="301">
        <v>0.1</v>
      </c>
      <c r="G23" s="301">
        <v>0.15</v>
      </c>
      <c r="H23" s="301">
        <v>0.05</v>
      </c>
      <c r="I23" s="301"/>
      <c r="J23" s="301">
        <v>0.1</v>
      </c>
      <c r="K23" s="301">
        <v>0.1</v>
      </c>
      <c r="L23" s="301">
        <v>0.05</v>
      </c>
      <c r="M23" s="302"/>
      <c r="N23" s="302">
        <f t="shared" si="1"/>
        <v>1</v>
      </c>
      <c r="O23" s="6"/>
    </row>
    <row r="24" ht="24.75" customHeight="1">
      <c r="A24" s="307" t="s">
        <v>171</v>
      </c>
      <c r="B24" s="308">
        <v>0.3</v>
      </c>
      <c r="C24" s="308"/>
      <c r="D24" s="308">
        <v>0.1</v>
      </c>
      <c r="E24" s="308">
        <v>0.1</v>
      </c>
      <c r="F24" s="308">
        <v>0.1</v>
      </c>
      <c r="G24" s="308">
        <v>0.15</v>
      </c>
      <c r="H24" s="308">
        <v>0.05</v>
      </c>
      <c r="I24" s="308"/>
      <c r="J24" s="308">
        <v>0.1</v>
      </c>
      <c r="K24" s="308">
        <v>0.05</v>
      </c>
      <c r="L24" s="308">
        <v>0.05</v>
      </c>
      <c r="M24" s="309"/>
      <c r="N24" s="310">
        <f t="shared" si="1"/>
        <v>1</v>
      </c>
      <c r="O24" s="6"/>
    </row>
    <row r="25" ht="24.75" hidden="1" customHeight="1">
      <c r="A25" s="315" t="s">
        <v>172</v>
      </c>
      <c r="B25" s="312">
        <v>0.3</v>
      </c>
      <c r="C25" s="312">
        <v>0.1</v>
      </c>
      <c r="D25" s="312">
        <v>0.05</v>
      </c>
      <c r="E25" s="312">
        <v>0.1</v>
      </c>
      <c r="F25" s="312">
        <v>0.05</v>
      </c>
      <c r="G25" s="312">
        <v>0.1</v>
      </c>
      <c r="H25" s="312">
        <v>0.05</v>
      </c>
      <c r="I25" s="312"/>
      <c r="J25" s="312">
        <v>0.1</v>
      </c>
      <c r="K25" s="312">
        <v>0.1</v>
      </c>
      <c r="L25" s="312">
        <v>0.05</v>
      </c>
      <c r="M25" s="313"/>
      <c r="N25" s="314">
        <f t="shared" si="1"/>
        <v>1</v>
      </c>
      <c r="O25" s="6"/>
    </row>
    <row r="26" ht="24.75" hidden="1" customHeight="1">
      <c r="A26" s="307"/>
      <c r="B26" s="308">
        <v>0.3</v>
      </c>
      <c r="C26" s="308"/>
      <c r="D26" s="308"/>
      <c r="E26" s="308"/>
      <c r="F26" s="308">
        <v>0.15</v>
      </c>
      <c r="G26" s="308">
        <v>0.15</v>
      </c>
      <c r="H26" s="308">
        <v>0.1</v>
      </c>
      <c r="I26" s="308"/>
      <c r="J26" s="308">
        <v>0.1</v>
      </c>
      <c r="K26" s="308">
        <v>0.2</v>
      </c>
      <c r="L26" s="308"/>
      <c r="M26" s="309"/>
      <c r="N26" s="310">
        <f t="shared" si="1"/>
        <v>1</v>
      </c>
      <c r="O26" s="6"/>
    </row>
    <row r="27" ht="24.75" hidden="1" customHeight="1">
      <c r="A27" s="315"/>
      <c r="B27" s="312">
        <v>0.25</v>
      </c>
      <c r="C27" s="312">
        <v>0.1</v>
      </c>
      <c r="D27" s="312">
        <v>0.05</v>
      </c>
      <c r="E27" s="312">
        <v>0.1</v>
      </c>
      <c r="F27" s="312">
        <v>0.05</v>
      </c>
      <c r="G27" s="312">
        <v>0.1</v>
      </c>
      <c r="H27" s="312">
        <v>0.05</v>
      </c>
      <c r="I27" s="312"/>
      <c r="J27" s="312">
        <v>0.1</v>
      </c>
      <c r="K27" s="312">
        <v>0.1</v>
      </c>
      <c r="L27" s="312">
        <v>0.1</v>
      </c>
      <c r="M27" s="313"/>
      <c r="N27" s="314">
        <f t="shared" si="1"/>
        <v>1</v>
      </c>
      <c r="O27" s="6"/>
    </row>
    <row r="28" ht="24.75" hidden="1" customHeight="1">
      <c r="A28" s="303" t="s">
        <v>173</v>
      </c>
      <c r="B28" s="304">
        <v>0.15</v>
      </c>
      <c r="C28" s="304">
        <v>0.15</v>
      </c>
      <c r="D28" s="304"/>
      <c r="E28" s="304">
        <v>0.1</v>
      </c>
      <c r="F28" s="304">
        <v>0.05</v>
      </c>
      <c r="G28" s="304">
        <v>0.1</v>
      </c>
      <c r="H28" s="304">
        <v>0.15</v>
      </c>
      <c r="I28" s="304">
        <v>0.1</v>
      </c>
      <c r="J28" s="304">
        <v>0.05</v>
      </c>
      <c r="K28" s="304">
        <v>0.1</v>
      </c>
      <c r="L28" s="304">
        <v>0.05</v>
      </c>
      <c r="M28" s="305"/>
      <c r="N28" s="306">
        <f t="shared" si="1"/>
        <v>1</v>
      </c>
      <c r="O28" s="6"/>
    </row>
    <row r="29">
      <c r="A29" s="316"/>
      <c r="B29" s="317"/>
      <c r="C29" s="317"/>
      <c r="D29" s="317"/>
      <c r="E29" s="317"/>
      <c r="F29" s="317"/>
      <c r="G29" s="317"/>
      <c r="H29" s="317"/>
      <c r="I29" s="317"/>
      <c r="J29" s="317"/>
      <c r="K29" s="317"/>
      <c r="L29" s="317"/>
      <c r="M29" s="318"/>
      <c r="N29" s="319"/>
      <c r="O29" s="6"/>
    </row>
    <row r="30">
      <c r="A30" s="320" t="s">
        <v>174</v>
      </c>
      <c r="B30" s="321">
        <f t="shared" ref="B30:L30" si="2">MIN(B3:B28)</f>
        <v>0.1</v>
      </c>
      <c r="C30" s="321">
        <f t="shared" si="2"/>
        <v>0.05</v>
      </c>
      <c r="D30" s="321">
        <f t="shared" si="2"/>
        <v>0.05</v>
      </c>
      <c r="E30" s="321">
        <f t="shared" si="2"/>
        <v>0.05</v>
      </c>
      <c r="F30" s="321">
        <f t="shared" si="2"/>
        <v>0.05</v>
      </c>
      <c r="G30" s="321">
        <f t="shared" si="2"/>
        <v>0.1</v>
      </c>
      <c r="H30" s="321">
        <f t="shared" si="2"/>
        <v>0.05</v>
      </c>
      <c r="I30" s="321">
        <f t="shared" si="2"/>
        <v>0.05</v>
      </c>
      <c r="J30" s="321">
        <f t="shared" si="2"/>
        <v>0.05</v>
      </c>
      <c r="K30" s="321">
        <f t="shared" si="2"/>
        <v>0.05</v>
      </c>
      <c r="L30" s="322">
        <f t="shared" si="2"/>
        <v>0.05</v>
      </c>
      <c r="M30" s="6"/>
      <c r="N30" s="323"/>
      <c r="O30" s="6"/>
    </row>
    <row r="31">
      <c r="A31" s="320" t="s">
        <v>175</v>
      </c>
      <c r="B31" s="321">
        <f t="shared" ref="B31:L31" si="3">MAX(B3:B28)</f>
        <v>0.4</v>
      </c>
      <c r="C31" s="321">
        <f t="shared" si="3"/>
        <v>0.15</v>
      </c>
      <c r="D31" s="321">
        <f t="shared" si="3"/>
        <v>0.2</v>
      </c>
      <c r="E31" s="321">
        <f t="shared" si="3"/>
        <v>0.2</v>
      </c>
      <c r="F31" s="321">
        <f t="shared" si="3"/>
        <v>0.15</v>
      </c>
      <c r="G31" s="321">
        <f t="shared" si="3"/>
        <v>0.15</v>
      </c>
      <c r="H31" s="321">
        <f t="shared" si="3"/>
        <v>0.15</v>
      </c>
      <c r="I31" s="321">
        <f t="shared" si="3"/>
        <v>0.15</v>
      </c>
      <c r="J31" s="321">
        <f t="shared" si="3"/>
        <v>0.1</v>
      </c>
      <c r="K31" s="321">
        <f t="shared" si="3"/>
        <v>0.2</v>
      </c>
      <c r="L31" s="322">
        <f t="shared" si="3"/>
        <v>0.1</v>
      </c>
      <c r="M31" s="6"/>
      <c r="N31" s="324"/>
      <c r="O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>
      <c r="A33" s="325"/>
      <c r="H33" s="6"/>
      <c r="I33" s="6"/>
      <c r="J33" s="6"/>
      <c r="K33" s="6"/>
      <c r="L33" s="6"/>
      <c r="M33" s="6"/>
      <c r="N33" s="6"/>
      <c r="O33" s="6"/>
      <c r="P33" s="6"/>
    </row>
    <row r="34">
      <c r="A34" s="326"/>
      <c r="H34" s="6"/>
      <c r="I34" s="6"/>
      <c r="J34" s="6"/>
      <c r="K34" s="6"/>
      <c r="L34" s="6"/>
      <c r="M34" s="6"/>
      <c r="N34" s="6"/>
      <c r="O34" s="6"/>
      <c r="P34" s="6"/>
    </row>
    <row r="35">
      <c r="A35" s="326"/>
      <c r="H35" s="6"/>
      <c r="I35" s="6"/>
      <c r="J35" s="6"/>
      <c r="K35" s="6"/>
      <c r="L35" s="6"/>
      <c r="M35" s="6"/>
      <c r="N35" s="6"/>
      <c r="O35" s="6"/>
      <c r="P35" s="6"/>
    </row>
    <row r="36">
      <c r="A36" s="326"/>
      <c r="H36" s="6"/>
      <c r="I36" s="6"/>
      <c r="J36" s="6"/>
      <c r="K36" s="6"/>
      <c r="L36" s="6"/>
      <c r="M36" s="6"/>
      <c r="N36" s="6"/>
      <c r="O36" s="6"/>
      <c r="P36" s="6"/>
    </row>
    <row r="37">
      <c r="A37" s="326"/>
      <c r="H37" s="6"/>
      <c r="I37" s="6"/>
      <c r="J37" s="6"/>
      <c r="K37" s="6"/>
      <c r="L37" s="6"/>
      <c r="M37" s="6"/>
      <c r="N37" s="6"/>
      <c r="O37" s="6"/>
      <c r="P37" s="6"/>
    </row>
    <row r="38" ht="1.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ht="42.0" customHeight="1">
      <c r="A39" s="286" t="s">
        <v>176</v>
      </c>
      <c r="B39" s="286"/>
      <c r="C39" s="286"/>
      <c r="D39" s="286"/>
      <c r="E39" s="286"/>
      <c r="F39" s="286"/>
      <c r="G39" s="286"/>
      <c r="H39" s="286"/>
      <c r="I39" s="286"/>
      <c r="J39" s="286"/>
      <c r="K39" s="286"/>
      <c r="L39" s="286"/>
      <c r="M39" s="286"/>
      <c r="N39" s="286"/>
      <c r="O39" s="286"/>
      <c r="P39" s="286"/>
      <c r="Q39" s="286"/>
      <c r="R39" s="286"/>
      <c r="S39" s="286"/>
      <c r="T39" s="286"/>
      <c r="U39" s="286"/>
      <c r="V39" s="286"/>
      <c r="W39" s="286"/>
      <c r="X39" s="286"/>
    </row>
    <row r="40" ht="39.0" customHeight="1">
      <c r="A40" s="287" t="s">
        <v>146</v>
      </c>
      <c r="B40" s="287" t="s">
        <v>32</v>
      </c>
      <c r="C40" s="287" t="s">
        <v>147</v>
      </c>
      <c r="D40" s="287" t="s">
        <v>148</v>
      </c>
      <c r="E40" s="327" t="s">
        <v>177</v>
      </c>
      <c r="F40" s="287" t="s">
        <v>150</v>
      </c>
      <c r="G40" s="327" t="s">
        <v>178</v>
      </c>
      <c r="H40" s="287" t="s">
        <v>151</v>
      </c>
      <c r="I40" s="287" t="s">
        <v>37</v>
      </c>
      <c r="J40" s="287" t="s">
        <v>152</v>
      </c>
      <c r="K40" s="287" t="s">
        <v>153</v>
      </c>
      <c r="L40" s="287" t="s">
        <v>154</v>
      </c>
      <c r="M40" s="327" t="s">
        <v>179</v>
      </c>
      <c r="N40" s="327" t="s">
        <v>180</v>
      </c>
      <c r="O40" s="327" t="s">
        <v>181</v>
      </c>
      <c r="P40" s="327" t="s">
        <v>182</v>
      </c>
      <c r="Q40" s="327" t="s">
        <v>183</v>
      </c>
      <c r="R40" s="327" t="s">
        <v>184</v>
      </c>
      <c r="S40" s="327" t="s">
        <v>185</v>
      </c>
      <c r="T40" s="327" t="s">
        <v>186</v>
      </c>
      <c r="U40" s="327" t="s">
        <v>187</v>
      </c>
      <c r="V40" s="327" t="s">
        <v>188</v>
      </c>
      <c r="W40" s="327" t="s">
        <v>189</v>
      </c>
    </row>
    <row r="41" ht="27.75" customHeight="1">
      <c r="A41" s="328"/>
      <c r="B41" s="328">
        <v>0.85</v>
      </c>
      <c r="M41" s="329">
        <v>0.25</v>
      </c>
      <c r="N41" s="330"/>
      <c r="O41" s="1"/>
    </row>
    <row r="42" ht="27.75" hidden="1" customHeight="1">
      <c r="A42" s="290" t="s">
        <v>155</v>
      </c>
      <c r="B42" s="331">
        <f>'P&amp;L факт'!C25*B3*A41</f>
        <v>0</v>
      </c>
      <c r="C42" s="332">
        <f>'P&amp;L факт'!C26*C3*A41</f>
        <v>0</v>
      </c>
      <c r="D42" s="332">
        <f>('P&amp;L факт'!E34+'P&amp;L факт'!E35)/('P&amp;L факт'!D34+'P&amp;L факт'!D35)*A41*D3</f>
        <v>0</v>
      </c>
      <c r="E42" s="332">
        <f>'P&amp;L факт'!C27*E3*A41</f>
        <v>0</v>
      </c>
      <c r="F42" s="332">
        <f>'P&amp;L факт'!C28*F3*A41</f>
        <v>0</v>
      </c>
      <c r="G42" s="332">
        <f>'P&amp;L факт'!C29*G3*A41</f>
        <v>0</v>
      </c>
      <c r="H42" s="332">
        <f>'P&amp;L факт'!C33*A41*H3</f>
        <v>0</v>
      </c>
      <c r="I42" s="332" t="str">
        <f>#REF!/#REF!*A41*I3</f>
        <v>#REF!</v>
      </c>
      <c r="J42" s="332" t="str">
        <f>#REF!/#REF!*A41*J3</f>
        <v>#REF!</v>
      </c>
      <c r="K42" s="332" t="str">
        <f>#REF!/#REF!*A41*K3</f>
        <v>#REF!</v>
      </c>
      <c r="L42" s="332" t="str">
        <f>#REF!/#REF!*A41*L3</f>
        <v>#REF!</v>
      </c>
      <c r="M42" s="333" t="str">
        <f>#REF!/#REF!*M41</f>
        <v>#REF!</v>
      </c>
      <c r="N42" s="334" t="str">
        <f t="shared" ref="N42:N63" si="4">SUM(B42:M42)</f>
        <v>#REF!</v>
      </c>
      <c r="O42" s="6" t="str">
        <f t="shared" ref="O42:O63" si="5">N42*0.6</f>
        <v>#REF!</v>
      </c>
      <c r="P42" s="335" t="str">
        <f t="shared" ref="P42:P63" si="6">N42*1.2</f>
        <v>#REF!</v>
      </c>
      <c r="Q42" s="335" t="str">
        <f t="shared" ref="Q42:Q63" si="7">N42*1.8</f>
        <v>#REF!</v>
      </c>
      <c r="R42" s="335" t="str">
        <f t="shared" ref="R42:R63" si="8">N42*2.2</f>
        <v>#REF!</v>
      </c>
      <c r="S42" s="335" t="str">
        <f t="shared" ref="S42:S63" si="9">N42*3</f>
        <v>#REF!</v>
      </c>
      <c r="T42" s="335" t="str">
        <f t="shared" ref="T42:T63" si="10">N42*3.5</f>
        <v>#REF!</v>
      </c>
      <c r="U42" s="335" t="str">
        <f t="shared" ref="U42:U63" si="11">N42*4</f>
        <v>#REF!</v>
      </c>
      <c r="V42" s="335" t="str">
        <f t="shared" ref="V42:V63" si="12">N42*5</f>
        <v>#REF!</v>
      </c>
      <c r="W42" s="335" t="str">
        <f t="shared" ref="W42:W63" si="13">N42*6</f>
        <v>#REF!</v>
      </c>
    </row>
    <row r="43" ht="27.75" hidden="1" customHeight="1">
      <c r="A43" s="294" t="s">
        <v>156</v>
      </c>
      <c r="B43" s="336">
        <f>'P&amp;L факт'!C25*B4*A41</f>
        <v>0</v>
      </c>
      <c r="C43" s="336">
        <f>'P&amp;L факт'!C26*C4*A41</f>
        <v>0</v>
      </c>
      <c r="D43" s="336">
        <f>('P&amp;L факт'!E34+'P&amp;L факт'!E35)/('P&amp;L факт'!D34+'P&amp;L факт'!D35)*A41*D4</f>
        <v>0</v>
      </c>
      <c r="E43" s="336">
        <f>'P&amp;L факт'!C27*E4*A41</f>
        <v>0</v>
      </c>
      <c r="F43" s="336">
        <f>'P&amp;L факт'!C28*F4*A41</f>
        <v>0</v>
      </c>
      <c r="G43" s="336">
        <f>'P&amp;L факт'!C29*G4*A41</f>
        <v>0</v>
      </c>
      <c r="H43" s="336">
        <f>'P&amp;L факт'!C33*A41*H4</f>
        <v>0</v>
      </c>
      <c r="I43" s="336" t="str">
        <f>#REF!/#REF!*A41*I4</f>
        <v>#REF!</v>
      </c>
      <c r="J43" s="336" t="str">
        <f>#REF!/#REF!*A41*J4</f>
        <v>#REF!</v>
      </c>
      <c r="K43" s="336" t="str">
        <f>#REF!/#REF!*A41*K4</f>
        <v>#REF!</v>
      </c>
      <c r="L43" s="332" t="str">
        <f>#REF!/#REF!*A41*L4</f>
        <v>#REF!</v>
      </c>
      <c r="M43" s="337" t="str">
        <f>#REF!/#REF!*M41</f>
        <v>#REF!</v>
      </c>
      <c r="N43" s="334" t="str">
        <f t="shared" si="4"/>
        <v>#REF!</v>
      </c>
      <c r="O43" s="6" t="str">
        <f t="shared" si="5"/>
        <v>#REF!</v>
      </c>
      <c r="P43" s="335" t="str">
        <f t="shared" si="6"/>
        <v>#REF!</v>
      </c>
      <c r="Q43" s="335" t="str">
        <f t="shared" si="7"/>
        <v>#REF!</v>
      </c>
      <c r="R43" s="335" t="str">
        <f t="shared" si="8"/>
        <v>#REF!</v>
      </c>
      <c r="S43" s="335" t="str">
        <f t="shared" si="9"/>
        <v>#REF!</v>
      </c>
      <c r="T43" s="335" t="str">
        <f t="shared" si="10"/>
        <v>#REF!</v>
      </c>
      <c r="U43" s="335" t="str">
        <f t="shared" si="11"/>
        <v>#REF!</v>
      </c>
      <c r="V43" s="335" t="str">
        <f t="shared" si="12"/>
        <v>#REF!</v>
      </c>
      <c r="W43" s="335" t="str">
        <f t="shared" si="13"/>
        <v>#REF!</v>
      </c>
    </row>
    <row r="44" ht="27.75" customHeight="1">
      <c r="A44" s="338" t="s">
        <v>110</v>
      </c>
      <c r="B44" s="339">
        <f>'P&amp;L факт'!C25*B5*B41</f>
        <v>3.9474</v>
      </c>
      <c r="C44" s="339">
        <f>'P&amp;L факт'!C26*C5*B41</f>
        <v>1.705666667</v>
      </c>
      <c r="D44" s="339">
        <f>'P&amp;L факт'!C34*B41*D5</f>
        <v>6.8</v>
      </c>
      <c r="E44" s="339">
        <f>'P&amp;L факт'!C27*E5*B41</f>
        <v>5.695</v>
      </c>
      <c r="F44" s="339">
        <f>'P&amp;L факт'!C28*F5*B41</f>
        <v>3.924571429</v>
      </c>
      <c r="G44" s="339">
        <f>'P&amp;L факт'!C29*G5*B41</f>
        <v>13.77392308</v>
      </c>
      <c r="H44" s="339">
        <f>'P&amp;L факт'!C33*B41*H5</f>
        <v>3.763733766</v>
      </c>
      <c r="I44" s="339">
        <f>'P&amp;L факт'!C30*B41*I5</f>
        <v>0</v>
      </c>
      <c r="J44" s="339">
        <f>'P&amp;L факт'!C31*B41*J5</f>
        <v>9.546153846</v>
      </c>
      <c r="K44" s="339">
        <f>'P&amp;L факт'!C36*B41*K5</f>
        <v>7.172454545</v>
      </c>
      <c r="L44" s="339">
        <f>'P&amp;L факт'!C32*B41*L5</f>
        <v>3.825</v>
      </c>
      <c r="M44" s="340">
        <f>'P&amp;L факт'!C37*M41</f>
        <v>14.5</v>
      </c>
      <c r="N44" s="341">
        <f t="shared" si="4"/>
        <v>74.65390333</v>
      </c>
      <c r="O44" s="279">
        <f t="shared" si="5"/>
        <v>44.792342</v>
      </c>
      <c r="P44" s="342">
        <f t="shared" si="6"/>
        <v>89.584684</v>
      </c>
      <c r="Q44" s="342">
        <f t="shared" si="7"/>
        <v>134.377026</v>
      </c>
      <c r="R44" s="342">
        <f t="shared" si="8"/>
        <v>164.2385873</v>
      </c>
      <c r="S44" s="342">
        <f t="shared" si="9"/>
        <v>223.96171</v>
      </c>
      <c r="T44" s="342">
        <f t="shared" si="10"/>
        <v>261.2886617</v>
      </c>
      <c r="U44" s="342">
        <f t="shared" si="11"/>
        <v>298.6156133</v>
      </c>
      <c r="V44" s="342">
        <f t="shared" si="12"/>
        <v>373.2695167</v>
      </c>
      <c r="W44" s="342">
        <f t="shared" si="13"/>
        <v>447.92342</v>
      </c>
      <c r="X44" s="343"/>
      <c r="Y44" s="343"/>
      <c r="Z44" s="343"/>
      <c r="AA44" s="343"/>
      <c r="AB44" s="343"/>
    </row>
    <row r="45" ht="27.75" customHeight="1">
      <c r="A45" s="338" t="s">
        <v>114</v>
      </c>
      <c r="B45" s="339">
        <f>'P&amp;L факт'!C25*B6*B41</f>
        <v>3.15792</v>
      </c>
      <c r="C45" s="339">
        <f>'P&amp;L факт'!C26*C6*B41</f>
        <v>0</v>
      </c>
      <c r="D45" s="339">
        <f>'P&amp;L факт'!C34*B41*D6</f>
        <v>10.2</v>
      </c>
      <c r="E45" s="339">
        <f>'P&amp;L факт'!C27*E6*B41</f>
        <v>5.695</v>
      </c>
      <c r="F45" s="339">
        <f>'P&amp;L факт'!C28*F6*B41</f>
        <v>3.924571429</v>
      </c>
      <c r="G45" s="339">
        <f>'P&amp;L факт'!C29*G6*B41</f>
        <v>20.66088462</v>
      </c>
      <c r="H45" s="339">
        <f>'P&amp;L факт'!C33*B41*H6</f>
        <v>3.763733766</v>
      </c>
      <c r="I45" s="344">
        <f>'P&amp;L факт'!C30*B41*I6</f>
        <v>9.8175</v>
      </c>
      <c r="J45" s="339">
        <f>'P&amp;L факт'!C31*B41*J6</f>
        <v>9.546153846</v>
      </c>
      <c r="K45" s="339">
        <f>'P&amp;L факт'!C36*B41*K6</f>
        <v>3.586227273</v>
      </c>
      <c r="L45" s="339">
        <f>'P&amp;L факт'!C32*B41*L6</f>
        <v>3.825</v>
      </c>
      <c r="M45" s="340">
        <f>'P&amp;L факт'!C37*M41</f>
        <v>14.5</v>
      </c>
      <c r="N45" s="341">
        <f t="shared" si="4"/>
        <v>88.67699093</v>
      </c>
      <c r="O45" s="279">
        <f t="shared" si="5"/>
        <v>53.20619456</v>
      </c>
      <c r="P45" s="342">
        <f t="shared" si="6"/>
        <v>106.4123891</v>
      </c>
      <c r="Q45" s="342">
        <f t="shared" si="7"/>
        <v>159.6185837</v>
      </c>
      <c r="R45" s="342">
        <f t="shared" si="8"/>
        <v>195.08938</v>
      </c>
      <c r="S45" s="342">
        <f t="shared" si="9"/>
        <v>266.0309728</v>
      </c>
      <c r="T45" s="342">
        <f t="shared" si="10"/>
        <v>310.3694683</v>
      </c>
      <c r="U45" s="342">
        <f t="shared" si="11"/>
        <v>354.7079637</v>
      </c>
      <c r="V45" s="342">
        <f t="shared" si="12"/>
        <v>443.3849546</v>
      </c>
      <c r="W45" s="342">
        <f t="shared" si="13"/>
        <v>532.0619456</v>
      </c>
      <c r="X45" s="343"/>
      <c r="Y45" s="343"/>
      <c r="Z45" s="343"/>
      <c r="AA45" s="343"/>
      <c r="AB45" s="343"/>
    </row>
    <row r="46" ht="27.75" customHeight="1">
      <c r="A46" s="338" t="s">
        <v>157</v>
      </c>
      <c r="B46" s="339">
        <f>'P&amp;L факт'!C25*B7*B41</f>
        <v>3.9474</v>
      </c>
      <c r="C46" s="339">
        <f>'P&amp;L факт'!C26*C7*B41</f>
        <v>0</v>
      </c>
      <c r="D46" s="339">
        <f>'P&amp;L факт'!C34*B41*D7</f>
        <v>0</v>
      </c>
      <c r="E46" s="339">
        <f>'P&amp;L факт'!C27*E7*B41</f>
        <v>5.695</v>
      </c>
      <c r="F46" s="339">
        <f>'P&amp;L факт'!C28*F7*B41</f>
        <v>7.849142857</v>
      </c>
      <c r="G46" s="339">
        <f>'P&amp;L факт'!C29*G7*B41</f>
        <v>20.66088462</v>
      </c>
      <c r="H46" s="339">
        <f>'P&amp;L факт'!C33*B41*H7</f>
        <v>11.2912013</v>
      </c>
      <c r="I46" s="339">
        <f>'P&amp;L факт'!C30*B41*I7</f>
        <v>0</v>
      </c>
      <c r="J46" s="339">
        <f>'P&amp;L факт'!C31*B41*J7</f>
        <v>9.546153846</v>
      </c>
      <c r="K46" s="339">
        <f>'P&amp;L факт'!C36*B41*K7</f>
        <v>7.172454545</v>
      </c>
      <c r="L46" s="339">
        <f>'P&amp;L факт'!C32*B41*L7</f>
        <v>3.825</v>
      </c>
      <c r="M46" s="340">
        <f>'P&amp;L факт'!C37*M41</f>
        <v>14.5</v>
      </c>
      <c r="N46" s="341">
        <f t="shared" si="4"/>
        <v>84.48723716</v>
      </c>
      <c r="O46" s="279">
        <f t="shared" si="5"/>
        <v>50.6923423</v>
      </c>
      <c r="P46" s="342">
        <f t="shared" si="6"/>
        <v>101.3846846</v>
      </c>
      <c r="Q46" s="342">
        <f t="shared" si="7"/>
        <v>152.0770269</v>
      </c>
      <c r="R46" s="342">
        <f t="shared" si="8"/>
        <v>185.8719218</v>
      </c>
      <c r="S46" s="342">
        <f t="shared" si="9"/>
        <v>253.4617115</v>
      </c>
      <c r="T46" s="342">
        <f t="shared" si="10"/>
        <v>295.7053301</v>
      </c>
      <c r="U46" s="342">
        <f t="shared" si="11"/>
        <v>337.9489487</v>
      </c>
      <c r="V46" s="342">
        <f t="shared" si="12"/>
        <v>422.4361858</v>
      </c>
      <c r="W46" s="342">
        <f t="shared" si="13"/>
        <v>506.923423</v>
      </c>
      <c r="X46" s="343"/>
      <c r="Y46" s="343"/>
      <c r="Z46" s="343"/>
      <c r="AA46" s="343"/>
      <c r="AB46" s="343"/>
    </row>
    <row r="47" ht="27.75" customHeight="1">
      <c r="A47" s="338" t="s">
        <v>109</v>
      </c>
      <c r="B47" s="339">
        <f>'P&amp;L факт'!C25*B8*B41</f>
        <v>1.57896</v>
      </c>
      <c r="C47" s="339">
        <f>'P&amp;L факт'!C26*C8*B41</f>
        <v>0</v>
      </c>
      <c r="D47" s="339">
        <f>'P&amp;L факт'!C34*B41*D8</f>
        <v>13.6</v>
      </c>
      <c r="E47" s="339">
        <f>'P&amp;L факт'!C27*E8*B41</f>
        <v>11.39</v>
      </c>
      <c r="F47" s="339">
        <f>'P&amp;L факт'!C28*F8*B41</f>
        <v>3.924571429</v>
      </c>
      <c r="G47" s="339">
        <f>'P&amp;L факт'!C29*G8*B41</f>
        <v>13.77392308</v>
      </c>
      <c r="H47" s="339">
        <f>'P&amp;L факт'!C33*B41*H8</f>
        <v>3.763733766</v>
      </c>
      <c r="I47" s="339">
        <f>'P&amp;L факт'!C30*B41*I8</f>
        <v>9.8175</v>
      </c>
      <c r="J47" s="339">
        <f>'P&amp;L факт'!C31*B41*J8</f>
        <v>9.546153846</v>
      </c>
      <c r="K47" s="339">
        <f>'P&amp;L факт'!C36*B41*K8</f>
        <v>3.586227273</v>
      </c>
      <c r="L47" s="339">
        <f>'P&amp;L факт'!C32*B41*L8</f>
        <v>3.825</v>
      </c>
      <c r="M47" s="340">
        <f>'P&amp;L факт'!C37*M41</f>
        <v>14.5</v>
      </c>
      <c r="N47" s="341">
        <f t="shared" si="4"/>
        <v>89.30606939</v>
      </c>
      <c r="O47" s="279">
        <f t="shared" si="5"/>
        <v>53.58364163</v>
      </c>
      <c r="P47" s="342">
        <f t="shared" si="6"/>
        <v>107.1672833</v>
      </c>
      <c r="Q47" s="342">
        <f t="shared" si="7"/>
        <v>160.7509249</v>
      </c>
      <c r="R47" s="342">
        <f t="shared" si="8"/>
        <v>196.4733527</v>
      </c>
      <c r="S47" s="342">
        <f t="shared" si="9"/>
        <v>267.9182082</v>
      </c>
      <c r="T47" s="342">
        <f t="shared" si="10"/>
        <v>312.5712429</v>
      </c>
      <c r="U47" s="342">
        <f t="shared" si="11"/>
        <v>357.2242776</v>
      </c>
      <c r="V47" s="342">
        <f t="shared" si="12"/>
        <v>446.530347</v>
      </c>
      <c r="W47" s="342">
        <f t="shared" si="13"/>
        <v>535.8364163</v>
      </c>
      <c r="X47" s="343"/>
      <c r="Y47" s="343"/>
      <c r="Z47" s="343"/>
      <c r="AA47" s="343"/>
      <c r="AB47" s="343"/>
    </row>
    <row r="48" ht="27.75" customHeight="1">
      <c r="A48" s="338" t="s">
        <v>158</v>
      </c>
      <c r="B48" s="339">
        <f>'P&amp;L факт'!C25*B9*B41</f>
        <v>3.9474</v>
      </c>
      <c r="C48" s="339">
        <f>'P&amp;L факт'!C26*C9*B41</f>
        <v>1.705666667</v>
      </c>
      <c r="D48" s="339">
        <f>'P&amp;L факт'!C34*B41*D9</f>
        <v>6.8</v>
      </c>
      <c r="E48" s="339">
        <f>'P&amp;L факт'!C27*E9*B41</f>
        <v>5.695</v>
      </c>
      <c r="F48" s="339">
        <f>'P&amp;L факт'!C28*F9*B41</f>
        <v>3.924571429</v>
      </c>
      <c r="G48" s="339">
        <f>'P&amp;L факт'!C29*G9*B41</f>
        <v>13.77392308</v>
      </c>
      <c r="H48" s="339">
        <f>'P&amp;L факт'!C33*B41*H9</f>
        <v>3.763733766</v>
      </c>
      <c r="I48" s="339">
        <f>'P&amp;L факт'!C30*B41*I9</f>
        <v>4.90875</v>
      </c>
      <c r="J48" s="339">
        <f>'P&amp;L факт'!C31*B41*J9</f>
        <v>9.546153846</v>
      </c>
      <c r="K48" s="339">
        <f>'P&amp;L факт'!C36*B41*K9</f>
        <v>3.586227273</v>
      </c>
      <c r="L48" s="339">
        <f>'P&amp;L факт'!C32*B41*L9</f>
        <v>3.825</v>
      </c>
      <c r="M48" s="340">
        <f>'P&amp;L факт'!C37*M41</f>
        <v>14.5</v>
      </c>
      <c r="N48" s="341">
        <f t="shared" si="4"/>
        <v>75.97642606</v>
      </c>
      <c r="O48" s="279">
        <f t="shared" si="5"/>
        <v>45.58585563</v>
      </c>
      <c r="P48" s="342">
        <f t="shared" si="6"/>
        <v>91.17171127</v>
      </c>
      <c r="Q48" s="342">
        <f t="shared" si="7"/>
        <v>136.7575669</v>
      </c>
      <c r="R48" s="342">
        <f t="shared" si="8"/>
        <v>167.1481373</v>
      </c>
      <c r="S48" s="342">
        <f t="shared" si="9"/>
        <v>227.9292782</v>
      </c>
      <c r="T48" s="342">
        <f t="shared" si="10"/>
        <v>265.9174912</v>
      </c>
      <c r="U48" s="342">
        <f t="shared" si="11"/>
        <v>303.9057042</v>
      </c>
      <c r="V48" s="342">
        <f t="shared" si="12"/>
        <v>379.8821303</v>
      </c>
      <c r="W48" s="342">
        <f t="shared" si="13"/>
        <v>455.8585563</v>
      </c>
      <c r="X48" s="343"/>
      <c r="Y48" s="343"/>
      <c r="Z48" s="343"/>
      <c r="AA48" s="343"/>
      <c r="AB48" s="343"/>
    </row>
    <row r="49" ht="27.75" hidden="1" customHeight="1">
      <c r="A49" s="294" t="s">
        <v>159</v>
      </c>
      <c r="B49" s="336">
        <f>'P&amp;L факт'!C25*B10*A41</f>
        <v>0</v>
      </c>
      <c r="C49" s="336">
        <f>'P&amp;L факт'!C26*C10*A41</f>
        <v>0</v>
      </c>
      <c r="D49" s="336">
        <f>('P&amp;L факт'!E34+'P&amp;L факт'!E35)/('P&amp;L факт'!D34+'P&amp;L факт'!D35)*A41*D10</f>
        <v>0</v>
      </c>
      <c r="E49" s="336">
        <f>'P&amp;L факт'!C27*E10*A41</f>
        <v>0</v>
      </c>
      <c r="F49" s="336">
        <f>'P&amp;L факт'!C28*F10*A41</f>
        <v>0</v>
      </c>
      <c r="G49" s="336">
        <f>'P&amp;L факт'!C29*G10*A41</f>
        <v>0</v>
      </c>
      <c r="H49" s="336">
        <f>'P&amp;L факт'!C33*A41*H10</f>
        <v>0</v>
      </c>
      <c r="I49" s="336" t="str">
        <f>#REF!/#REF!*A41*I10</f>
        <v>#REF!</v>
      </c>
      <c r="J49" s="336" t="str">
        <f>#REF!/#REF!*A41*J10</f>
        <v>#REF!</v>
      </c>
      <c r="K49" s="336" t="str">
        <f>#REF!/#REF!*A41*K10</f>
        <v>#REF!</v>
      </c>
      <c r="L49" s="336" t="str">
        <f>#REF!/#REF!*A41*L10</f>
        <v>#REF!</v>
      </c>
      <c r="M49" s="337" t="str">
        <f>#REF!/#REF!*M41</f>
        <v>#REF!</v>
      </c>
      <c r="N49" s="334" t="str">
        <f t="shared" si="4"/>
        <v>#REF!</v>
      </c>
      <c r="O49" s="6" t="str">
        <f t="shared" si="5"/>
        <v>#REF!</v>
      </c>
      <c r="P49" s="335" t="str">
        <f t="shared" si="6"/>
        <v>#REF!</v>
      </c>
      <c r="Q49" s="335" t="str">
        <f t="shared" si="7"/>
        <v>#REF!</v>
      </c>
      <c r="R49" s="335" t="str">
        <f t="shared" si="8"/>
        <v>#REF!</v>
      </c>
      <c r="S49" s="335" t="str">
        <f t="shared" si="9"/>
        <v>#REF!</v>
      </c>
      <c r="T49" s="335" t="str">
        <f t="shared" si="10"/>
        <v>#REF!</v>
      </c>
      <c r="U49" s="335" t="str">
        <f t="shared" si="11"/>
        <v>#REF!</v>
      </c>
      <c r="V49" s="335" t="str">
        <f t="shared" si="12"/>
        <v>#REF!</v>
      </c>
      <c r="W49" s="335" t="str">
        <f t="shared" si="13"/>
        <v>#REF!</v>
      </c>
    </row>
    <row r="50" ht="27.75" customHeight="1">
      <c r="A50" s="345" t="s">
        <v>111</v>
      </c>
      <c r="B50" s="346">
        <f>'P&amp;L факт'!C25*B11*B41</f>
        <v>4.73688</v>
      </c>
      <c r="C50" s="346">
        <f>'P&amp;L факт'!C26*C11*B41</f>
        <v>0</v>
      </c>
      <c r="D50" s="346">
        <f>'P&amp;L факт'!C34*B41*D11</f>
        <v>10.2</v>
      </c>
      <c r="E50" s="346">
        <f>'P&amp;L факт'!C27*E11*B41</f>
        <v>5.695</v>
      </c>
      <c r="F50" s="346">
        <f>'P&amp;L факт'!C28*F11*B41</f>
        <v>3.924571429</v>
      </c>
      <c r="G50" s="346">
        <f>'P&amp;L факт'!C29*G11*B41</f>
        <v>13.77392308</v>
      </c>
      <c r="H50" s="346">
        <f>'P&amp;L факт'!C33*B41*H11</f>
        <v>3.763733766</v>
      </c>
      <c r="I50" s="346">
        <f>'P&amp;L факт'!C30*B41*I11</f>
        <v>9.8175</v>
      </c>
      <c r="J50" s="346">
        <f>'P&amp;L факт'!C31*B41*J11</f>
        <v>9.546153846</v>
      </c>
      <c r="K50" s="346">
        <f>'P&amp;L факт'!C36*B41*K11</f>
        <v>0</v>
      </c>
      <c r="L50" s="346">
        <f>'P&amp;L факт'!C32*B41*L11</f>
        <v>3.825</v>
      </c>
      <c r="M50" s="347">
        <f>'P&amp;L факт'!C37*M41</f>
        <v>14.5</v>
      </c>
      <c r="N50" s="341">
        <f t="shared" si="4"/>
        <v>79.78276212</v>
      </c>
      <c r="O50" s="279">
        <f t="shared" si="5"/>
        <v>47.86965727</v>
      </c>
      <c r="P50" s="342">
        <f t="shared" si="6"/>
        <v>95.73931454</v>
      </c>
      <c r="Q50" s="342">
        <f t="shared" si="7"/>
        <v>143.6089718</v>
      </c>
      <c r="R50" s="342">
        <f t="shared" si="8"/>
        <v>175.5220767</v>
      </c>
      <c r="S50" s="342">
        <f t="shared" si="9"/>
        <v>239.3482864</v>
      </c>
      <c r="T50" s="342">
        <f t="shared" si="10"/>
        <v>279.2396674</v>
      </c>
      <c r="U50" s="342">
        <f t="shared" si="11"/>
        <v>319.1310485</v>
      </c>
      <c r="V50" s="342">
        <f t="shared" si="12"/>
        <v>398.9138106</v>
      </c>
      <c r="W50" s="342">
        <f t="shared" si="13"/>
        <v>478.6965727</v>
      </c>
      <c r="X50" s="343"/>
      <c r="Y50" s="343"/>
      <c r="Z50" s="343"/>
      <c r="AA50" s="343"/>
      <c r="AB50" s="343"/>
    </row>
    <row r="51" ht="27.75" hidden="1" customHeight="1">
      <c r="A51" s="303" t="s">
        <v>160</v>
      </c>
      <c r="B51" s="348">
        <f>'P&amp;L факт'!C25*B12*A41</f>
        <v>0</v>
      </c>
      <c r="C51" s="348">
        <f>'P&amp;L факт'!C26*C12*A41</f>
        <v>0</v>
      </c>
      <c r="D51" s="348">
        <f>('P&amp;L факт'!E34+'P&amp;L факт'!E35)/('P&amp;L факт'!D34+'P&amp;L факт'!D35)*A41*D12</f>
        <v>0</v>
      </c>
      <c r="E51" s="348">
        <f>'P&amp;L факт'!C27*E12*A41</f>
        <v>0</v>
      </c>
      <c r="F51" s="348">
        <f>'P&amp;L факт'!C28*F12*A41</f>
        <v>0</v>
      </c>
      <c r="G51" s="348">
        <f>'P&amp;L факт'!C29*G12*A41</f>
        <v>0</v>
      </c>
      <c r="H51" s="348">
        <f>'P&amp;L факт'!C33*A41*H12</f>
        <v>0</v>
      </c>
      <c r="I51" s="348" t="str">
        <f>#REF!/#REF!*A41*I12</f>
        <v>#REF!</v>
      </c>
      <c r="J51" s="348" t="str">
        <f>#REF!/#REF!*A41*J12</f>
        <v>#REF!</v>
      </c>
      <c r="K51" s="348" t="str">
        <f>#REF!/#REF!*A41*K12</f>
        <v>#REF!</v>
      </c>
      <c r="L51" s="348" t="str">
        <f>#REF!/#REF!*A41*L12</f>
        <v>#REF!</v>
      </c>
      <c r="M51" s="349" t="str">
        <f>#REF!/#REF!*M41</f>
        <v>#REF!</v>
      </c>
      <c r="N51" s="334" t="str">
        <f t="shared" si="4"/>
        <v>#REF!</v>
      </c>
      <c r="O51" s="6" t="str">
        <f t="shared" si="5"/>
        <v>#REF!</v>
      </c>
      <c r="P51" s="335" t="str">
        <f t="shared" si="6"/>
        <v>#REF!</v>
      </c>
      <c r="Q51" s="335" t="str">
        <f t="shared" si="7"/>
        <v>#REF!</v>
      </c>
      <c r="R51" s="335" t="str">
        <f t="shared" si="8"/>
        <v>#REF!</v>
      </c>
      <c r="S51" s="335" t="str">
        <f t="shared" si="9"/>
        <v>#REF!</v>
      </c>
      <c r="T51" s="335" t="str">
        <f t="shared" si="10"/>
        <v>#REF!</v>
      </c>
      <c r="U51" s="335" t="str">
        <f t="shared" si="11"/>
        <v>#REF!</v>
      </c>
      <c r="V51" s="335" t="str">
        <f t="shared" si="12"/>
        <v>#REF!</v>
      </c>
      <c r="W51" s="335" t="str">
        <f t="shared" si="13"/>
        <v>#REF!</v>
      </c>
    </row>
    <row r="52" ht="27.75" hidden="1" customHeight="1">
      <c r="A52" s="300" t="s">
        <v>161</v>
      </c>
      <c r="B52" s="350">
        <f>'P&amp;L факт'!C25*B13*A41</f>
        <v>0</v>
      </c>
      <c r="C52" s="350">
        <f>'P&amp;L факт'!C26*C13*A41</f>
        <v>0</v>
      </c>
      <c r="D52" s="350">
        <f>('P&amp;L факт'!E34+'P&amp;L факт'!E35)/('P&amp;L факт'!D34+'P&amp;L факт'!D35)*A41*D13</f>
        <v>0</v>
      </c>
      <c r="E52" s="350">
        <f>'P&amp;L факт'!C27*E13*A41</f>
        <v>0</v>
      </c>
      <c r="F52" s="350">
        <f>'P&amp;L факт'!C28*F13*A41</f>
        <v>0</v>
      </c>
      <c r="G52" s="350">
        <f>'P&amp;L факт'!C29*G13*A41</f>
        <v>0</v>
      </c>
      <c r="H52" s="350">
        <f>'P&amp;L факт'!C33*A41*H13</f>
        <v>0</v>
      </c>
      <c r="I52" s="350" t="str">
        <f>#REF!/#REF!*A41*I13</f>
        <v>#REF!</v>
      </c>
      <c r="J52" s="350" t="str">
        <f>#REF!/#REF!*A41*J13</f>
        <v>#REF!</v>
      </c>
      <c r="K52" s="350" t="str">
        <f>#REF!/#REF!*A41*K13</f>
        <v>#REF!</v>
      </c>
      <c r="L52" s="350" t="str">
        <f>#REF!/#REF!*A41*L13</f>
        <v>#REF!</v>
      </c>
      <c r="M52" s="351" t="str">
        <f>#REF!/#REF!*M41</f>
        <v>#REF!</v>
      </c>
      <c r="N52" s="334" t="str">
        <f t="shared" si="4"/>
        <v>#REF!</v>
      </c>
      <c r="O52" s="6" t="str">
        <f t="shared" si="5"/>
        <v>#REF!</v>
      </c>
      <c r="P52" s="335" t="str">
        <f t="shared" si="6"/>
        <v>#REF!</v>
      </c>
      <c r="Q52" s="335" t="str">
        <f t="shared" si="7"/>
        <v>#REF!</v>
      </c>
      <c r="R52" s="335" t="str">
        <f t="shared" si="8"/>
        <v>#REF!</v>
      </c>
      <c r="S52" s="335" t="str">
        <f t="shared" si="9"/>
        <v>#REF!</v>
      </c>
      <c r="T52" s="335" t="str">
        <f t="shared" si="10"/>
        <v>#REF!</v>
      </c>
      <c r="U52" s="335" t="str">
        <f t="shared" si="11"/>
        <v>#REF!</v>
      </c>
      <c r="V52" s="335" t="str">
        <f t="shared" si="12"/>
        <v>#REF!</v>
      </c>
      <c r="W52" s="335" t="str">
        <f t="shared" si="13"/>
        <v>#REF!</v>
      </c>
    </row>
    <row r="53" ht="27.75" hidden="1" customHeight="1">
      <c r="A53" s="307" t="s">
        <v>162</v>
      </c>
      <c r="B53" s="352">
        <f>'P&amp;L факт'!C25*B14*A41</f>
        <v>0</v>
      </c>
      <c r="C53" s="352">
        <f>'P&amp;L факт'!C26*C14*A41</f>
        <v>0</v>
      </c>
      <c r="D53" s="352">
        <f>('P&amp;L факт'!E34+'P&amp;L факт'!E35)/('P&amp;L факт'!D34+'P&amp;L факт'!D35)*A41*D14</f>
        <v>0</v>
      </c>
      <c r="E53" s="352">
        <f>'P&amp;L факт'!C27*E14*A41</f>
        <v>0</v>
      </c>
      <c r="F53" s="352">
        <f>'P&amp;L факт'!C28*F14*A41</f>
        <v>0</v>
      </c>
      <c r="G53" s="352">
        <f>'P&amp;L факт'!C29*G14*A41</f>
        <v>0</v>
      </c>
      <c r="H53" s="352">
        <f>'P&amp;L факт'!C33*A41*H14</f>
        <v>0</v>
      </c>
      <c r="I53" s="352" t="str">
        <f>#REF!/#REF!*A41*I14</f>
        <v>#REF!</v>
      </c>
      <c r="J53" s="352" t="str">
        <f>#REF!/#REF!*A41*J14</f>
        <v>#REF!</v>
      </c>
      <c r="K53" s="352" t="str">
        <f>#REF!/#REF!*A41*K14</f>
        <v>#REF!</v>
      </c>
      <c r="L53" s="352" t="str">
        <f>#REF!/#REF!*A41*L14</f>
        <v>#REF!</v>
      </c>
      <c r="M53" s="353" t="str">
        <f>#REF!/#REF!*M41</f>
        <v>#REF!</v>
      </c>
      <c r="N53" s="334" t="str">
        <f t="shared" si="4"/>
        <v>#REF!</v>
      </c>
      <c r="O53" s="6" t="str">
        <f t="shared" si="5"/>
        <v>#REF!</v>
      </c>
      <c r="P53" s="335" t="str">
        <f t="shared" si="6"/>
        <v>#REF!</v>
      </c>
      <c r="Q53" s="335" t="str">
        <f t="shared" si="7"/>
        <v>#REF!</v>
      </c>
      <c r="R53" s="335" t="str">
        <f t="shared" si="8"/>
        <v>#REF!</v>
      </c>
      <c r="S53" s="335" t="str">
        <f t="shared" si="9"/>
        <v>#REF!</v>
      </c>
      <c r="T53" s="335" t="str">
        <f t="shared" si="10"/>
        <v>#REF!</v>
      </c>
      <c r="U53" s="335" t="str">
        <f t="shared" si="11"/>
        <v>#REF!</v>
      </c>
      <c r="V53" s="335" t="str">
        <f t="shared" si="12"/>
        <v>#REF!</v>
      </c>
      <c r="W53" s="335" t="str">
        <f t="shared" si="13"/>
        <v>#REF!</v>
      </c>
    </row>
    <row r="54" ht="27.75" hidden="1" customHeight="1">
      <c r="A54" s="315"/>
      <c r="B54" s="354">
        <f>'P&amp;L факт'!C25*B15*A41</f>
        <v>0</v>
      </c>
      <c r="C54" s="354">
        <f>'P&amp;L факт'!C26*C15*A41</f>
        <v>0</v>
      </c>
      <c r="D54" s="354">
        <f>('P&amp;L факт'!E34+'P&amp;L факт'!E35)/('P&amp;L факт'!D34+'P&amp;L факт'!D35)*A41*D15</f>
        <v>0</v>
      </c>
      <c r="E54" s="354">
        <f>'P&amp;L факт'!C27*E15*A41</f>
        <v>0</v>
      </c>
      <c r="F54" s="354">
        <f>'P&amp;L факт'!C28*F15*A41</f>
        <v>0</v>
      </c>
      <c r="G54" s="354">
        <f>'P&amp;L факт'!C29*G15*A41</f>
        <v>0</v>
      </c>
      <c r="H54" s="354">
        <f>'P&amp;L факт'!C33*A41*H15</f>
        <v>0</v>
      </c>
      <c r="I54" s="354" t="str">
        <f>#REF!/#REF!*A41*I15</f>
        <v>#REF!</v>
      </c>
      <c r="J54" s="354" t="str">
        <f>#REF!/#REF!*A41*J15</f>
        <v>#REF!</v>
      </c>
      <c r="K54" s="354" t="str">
        <f>#REF!/#REF!*A41*K15</f>
        <v>#REF!</v>
      </c>
      <c r="L54" s="354" t="str">
        <f>#REF!/#REF!*A41*L15</f>
        <v>#REF!</v>
      </c>
      <c r="M54" s="355" t="str">
        <f>#REF!/#REF!*M41</f>
        <v>#REF!</v>
      </c>
      <c r="N54" s="334" t="str">
        <f t="shared" si="4"/>
        <v>#REF!</v>
      </c>
      <c r="O54" s="6" t="str">
        <f t="shared" si="5"/>
        <v>#REF!</v>
      </c>
      <c r="P54" s="335" t="str">
        <f t="shared" si="6"/>
        <v>#REF!</v>
      </c>
      <c r="Q54" s="335" t="str">
        <f t="shared" si="7"/>
        <v>#REF!</v>
      </c>
      <c r="R54" s="335" t="str">
        <f t="shared" si="8"/>
        <v>#REF!</v>
      </c>
      <c r="S54" s="335" t="str">
        <f t="shared" si="9"/>
        <v>#REF!</v>
      </c>
      <c r="T54" s="335" t="str">
        <f t="shared" si="10"/>
        <v>#REF!</v>
      </c>
      <c r="U54" s="335" t="str">
        <f t="shared" si="11"/>
        <v>#REF!</v>
      </c>
      <c r="V54" s="335" t="str">
        <f t="shared" si="12"/>
        <v>#REF!</v>
      </c>
      <c r="W54" s="335" t="str">
        <f t="shared" si="13"/>
        <v>#REF!</v>
      </c>
    </row>
    <row r="55" ht="27.75" hidden="1" customHeight="1">
      <c r="A55" s="303" t="s">
        <v>163</v>
      </c>
      <c r="B55" s="348">
        <f>'P&amp;L факт'!C25*B16*A41</f>
        <v>0</v>
      </c>
      <c r="C55" s="348">
        <f>'P&amp;L факт'!C26*C16*A41</f>
        <v>0</v>
      </c>
      <c r="D55" s="348">
        <f>('P&amp;L факт'!E34+'P&amp;L факт'!E35)/('P&amp;L факт'!D34+'P&amp;L факт'!D35)*A41*D16</f>
        <v>0</v>
      </c>
      <c r="E55" s="348">
        <f>'P&amp;L факт'!C27*E16*A41</f>
        <v>0</v>
      </c>
      <c r="F55" s="348">
        <f>'P&amp;L факт'!C28*F16*A41</f>
        <v>0</v>
      </c>
      <c r="G55" s="348">
        <f>'P&amp;L факт'!C29*G16*A41</f>
        <v>0</v>
      </c>
      <c r="H55" s="348">
        <f>'P&amp;L факт'!C33*A41*H16</f>
        <v>0</v>
      </c>
      <c r="I55" s="348" t="str">
        <f>#REF!/#REF!*A41*I16</f>
        <v>#REF!</v>
      </c>
      <c r="J55" s="348" t="str">
        <f>#REF!/#REF!*A41*J16</f>
        <v>#REF!</v>
      </c>
      <c r="K55" s="348" t="str">
        <f>#REF!/#REF!*A41*K16</f>
        <v>#REF!</v>
      </c>
      <c r="L55" s="348" t="str">
        <f>#REF!/#REF!*A41*L16</f>
        <v>#REF!</v>
      </c>
      <c r="M55" s="349" t="str">
        <f>#REF!/#REF!*M41</f>
        <v>#REF!</v>
      </c>
      <c r="N55" s="334" t="str">
        <f t="shared" si="4"/>
        <v>#REF!</v>
      </c>
      <c r="O55" s="6" t="str">
        <f t="shared" si="5"/>
        <v>#REF!</v>
      </c>
      <c r="P55" s="335" t="str">
        <f t="shared" si="6"/>
        <v>#REF!</v>
      </c>
      <c r="Q55" s="335" t="str">
        <f t="shared" si="7"/>
        <v>#REF!</v>
      </c>
      <c r="R55" s="335" t="str">
        <f t="shared" si="8"/>
        <v>#REF!</v>
      </c>
      <c r="S55" s="335" t="str">
        <f t="shared" si="9"/>
        <v>#REF!</v>
      </c>
      <c r="T55" s="335" t="str">
        <f t="shared" si="10"/>
        <v>#REF!</v>
      </c>
      <c r="U55" s="335" t="str">
        <f t="shared" si="11"/>
        <v>#REF!</v>
      </c>
      <c r="V55" s="335" t="str">
        <f t="shared" si="12"/>
        <v>#REF!</v>
      </c>
      <c r="W55" s="335" t="str">
        <f t="shared" si="13"/>
        <v>#REF!</v>
      </c>
    </row>
    <row r="56" ht="27.75" hidden="1" customHeight="1">
      <c r="A56" s="297" t="s">
        <v>164</v>
      </c>
      <c r="B56" s="356">
        <f>'P&amp;L факт'!C25*B17*A41</f>
        <v>0</v>
      </c>
      <c r="C56" s="356">
        <f>'P&amp;L факт'!C26*C17*A41</f>
        <v>0</v>
      </c>
      <c r="D56" s="356">
        <f>('P&amp;L факт'!E34+'P&amp;L факт'!E35)/('P&amp;L факт'!D34+'P&amp;L факт'!D35)*A41*D17</f>
        <v>0</v>
      </c>
      <c r="E56" s="356">
        <f>'P&amp;L факт'!C27*E17*A41</f>
        <v>0</v>
      </c>
      <c r="F56" s="356">
        <f>'P&amp;L факт'!C28*F17*A41</f>
        <v>0</v>
      </c>
      <c r="G56" s="356">
        <f>'P&amp;L факт'!C29*A41*G17</f>
        <v>0</v>
      </c>
      <c r="H56" s="356">
        <f>'P&amp;L факт'!C33*A41*H17</f>
        <v>0</v>
      </c>
      <c r="I56" s="356" t="str">
        <f>#REF!/#REF!*A41*I17</f>
        <v>#REF!</v>
      </c>
      <c r="J56" s="356" t="str">
        <f>#REF!/#REF!*A41*J17</f>
        <v>#REF!</v>
      </c>
      <c r="K56" s="356" t="str">
        <f>#REF!/#REF!*A41*K17</f>
        <v>#REF!</v>
      </c>
      <c r="L56" s="356" t="str">
        <f>#REF!/#REF!*A41*L17</f>
        <v>#REF!</v>
      </c>
      <c r="M56" s="357" t="str">
        <f>#REF!/#REF!*M41</f>
        <v>#REF!</v>
      </c>
      <c r="N56" s="334" t="str">
        <f t="shared" si="4"/>
        <v>#REF!</v>
      </c>
      <c r="O56" s="6" t="str">
        <f t="shared" si="5"/>
        <v>#REF!</v>
      </c>
      <c r="P56" s="335" t="str">
        <f t="shared" si="6"/>
        <v>#REF!</v>
      </c>
      <c r="Q56" s="335" t="str">
        <f t="shared" si="7"/>
        <v>#REF!</v>
      </c>
      <c r="R56" s="335" t="str">
        <f t="shared" si="8"/>
        <v>#REF!</v>
      </c>
      <c r="S56" s="335" t="str">
        <f t="shared" si="9"/>
        <v>#REF!</v>
      </c>
      <c r="T56" s="335" t="str">
        <f t="shared" si="10"/>
        <v>#REF!</v>
      </c>
      <c r="U56" s="335" t="str">
        <f t="shared" si="11"/>
        <v>#REF!</v>
      </c>
      <c r="V56" s="335" t="str">
        <f t="shared" si="12"/>
        <v>#REF!</v>
      </c>
      <c r="W56" s="335" t="str">
        <f t="shared" si="13"/>
        <v>#REF!</v>
      </c>
    </row>
    <row r="57" ht="27.75" hidden="1" customHeight="1">
      <c r="A57" s="294" t="s">
        <v>165</v>
      </c>
      <c r="B57" s="336">
        <f>'P&amp;L факт'!C25*B18*A41</f>
        <v>0</v>
      </c>
      <c r="C57" s="336">
        <f>'P&amp;L факт'!C26*C18*A41</f>
        <v>0</v>
      </c>
      <c r="D57" s="336">
        <f>('P&amp;L факт'!E34+'P&amp;L факт'!E35)/('P&amp;L факт'!D34+'P&amp;L факт'!D35)*A41*D18</f>
        <v>0</v>
      </c>
      <c r="E57" s="336">
        <f>'P&amp;L факт'!C27*E18*A41</f>
        <v>0</v>
      </c>
      <c r="F57" s="336">
        <f>'P&amp;L факт'!C28*F18*A41</f>
        <v>0</v>
      </c>
      <c r="G57" s="336">
        <f>'P&amp;L факт'!C29*A41*G18</f>
        <v>0</v>
      </c>
      <c r="H57" s="336">
        <f>'P&amp;L факт'!C33*A41*H18</f>
        <v>0</v>
      </c>
      <c r="I57" s="336" t="str">
        <f>#REF!/#REF!*A41*I18</f>
        <v>#REF!</v>
      </c>
      <c r="J57" s="336" t="str">
        <f>#REF!/#REF!*A41*J18</f>
        <v>#REF!</v>
      </c>
      <c r="K57" s="336" t="str">
        <f>#REF!/#REF!*A41*K18</f>
        <v>#REF!</v>
      </c>
      <c r="L57" s="336" t="str">
        <f>#REF!/#REF!*A41*L18</f>
        <v>#REF!</v>
      </c>
      <c r="M57" s="337" t="str">
        <f>#REF!/#REF!*M41</f>
        <v>#REF!</v>
      </c>
      <c r="N57" s="334" t="str">
        <f t="shared" si="4"/>
        <v>#REF!</v>
      </c>
      <c r="O57" s="6" t="str">
        <f t="shared" si="5"/>
        <v>#REF!</v>
      </c>
      <c r="P57" s="335" t="str">
        <f t="shared" si="6"/>
        <v>#REF!</v>
      </c>
      <c r="Q57" s="335" t="str">
        <f t="shared" si="7"/>
        <v>#REF!</v>
      </c>
      <c r="R57" s="335" t="str">
        <f t="shared" si="8"/>
        <v>#REF!</v>
      </c>
      <c r="S57" s="335" t="str">
        <f t="shared" si="9"/>
        <v>#REF!</v>
      </c>
      <c r="T57" s="335" t="str">
        <f t="shared" si="10"/>
        <v>#REF!</v>
      </c>
      <c r="U57" s="335" t="str">
        <f t="shared" si="11"/>
        <v>#REF!</v>
      </c>
      <c r="V57" s="335" t="str">
        <f t="shared" si="12"/>
        <v>#REF!</v>
      </c>
      <c r="W57" s="335" t="str">
        <f t="shared" si="13"/>
        <v>#REF!</v>
      </c>
    </row>
    <row r="58" ht="27.75" hidden="1" customHeight="1">
      <c r="A58" s="300" t="s">
        <v>166</v>
      </c>
      <c r="B58" s="350">
        <f>'P&amp;L факт'!C25*B19*A41</f>
        <v>0</v>
      </c>
      <c r="C58" s="350">
        <f>'P&amp;L факт'!C26*C19*A41</f>
        <v>0</v>
      </c>
      <c r="D58" s="350">
        <f>('P&amp;L факт'!E34+'P&amp;L факт'!E35)/('P&amp;L факт'!D34+'P&amp;L факт'!D35)*A41*D19</f>
        <v>0</v>
      </c>
      <c r="E58" s="350">
        <f>'P&amp;L факт'!C27*E19*A41</f>
        <v>0</v>
      </c>
      <c r="F58" s="350">
        <f>'P&amp;L факт'!C28*F19*A41</f>
        <v>0</v>
      </c>
      <c r="G58" s="350">
        <f>'P&amp;L факт'!C29*A41*G19</f>
        <v>0</v>
      </c>
      <c r="H58" s="350">
        <f>'P&amp;L факт'!C33*A41*H19</f>
        <v>0</v>
      </c>
      <c r="I58" s="358" t="str">
        <f>#REF!/#REF!*A41*I19</f>
        <v>#REF!</v>
      </c>
      <c r="J58" s="350" t="str">
        <f>#REF!/#REF!*A41*J19</f>
        <v>#REF!</v>
      </c>
      <c r="K58" s="350" t="str">
        <f>#REF!/#REF!*A41*K19</f>
        <v>#REF!</v>
      </c>
      <c r="L58" s="350" t="str">
        <f>#REF!/#REF!*A41*L19</f>
        <v>#REF!</v>
      </c>
      <c r="M58" s="351" t="str">
        <f>#REF!/#REF!*M41</f>
        <v>#REF!</v>
      </c>
      <c r="N58" s="334" t="str">
        <f t="shared" si="4"/>
        <v>#REF!</v>
      </c>
      <c r="O58" s="6" t="str">
        <f t="shared" si="5"/>
        <v>#REF!</v>
      </c>
      <c r="P58" s="335" t="str">
        <f t="shared" si="6"/>
        <v>#REF!</v>
      </c>
      <c r="Q58" s="335" t="str">
        <f t="shared" si="7"/>
        <v>#REF!</v>
      </c>
      <c r="R58" s="335" t="str">
        <f t="shared" si="8"/>
        <v>#REF!</v>
      </c>
      <c r="S58" s="335" t="str">
        <f t="shared" si="9"/>
        <v>#REF!</v>
      </c>
      <c r="T58" s="335" t="str">
        <f t="shared" si="10"/>
        <v>#REF!</v>
      </c>
      <c r="U58" s="335" t="str">
        <f t="shared" si="11"/>
        <v>#REF!</v>
      </c>
      <c r="V58" s="335" t="str">
        <f t="shared" si="12"/>
        <v>#REF!</v>
      </c>
      <c r="W58" s="335" t="str">
        <f t="shared" si="13"/>
        <v>#REF!</v>
      </c>
    </row>
    <row r="59" ht="27.75" hidden="1" customHeight="1">
      <c r="A59" s="307" t="s">
        <v>167</v>
      </c>
      <c r="B59" s="352">
        <f>'P&amp;L факт'!C25*B20*A41</f>
        <v>0</v>
      </c>
      <c r="C59" s="352">
        <f>'P&amp;L факт'!C26*C20*A41</f>
        <v>0</v>
      </c>
      <c r="D59" s="352">
        <f>('P&amp;L факт'!E34+'P&amp;L факт'!E35)/('P&amp;L факт'!D34+'P&amp;L факт'!D35)*A41*D20</f>
        <v>0</v>
      </c>
      <c r="E59" s="352">
        <f>'P&amp;L факт'!C27*E20*A41</f>
        <v>0</v>
      </c>
      <c r="F59" s="352">
        <f>'P&amp;L факт'!C28*F20*A41</f>
        <v>0</v>
      </c>
      <c r="G59" s="352">
        <f>'P&amp;L факт'!C29*A41*G20</f>
        <v>0</v>
      </c>
      <c r="H59" s="352">
        <f>'P&amp;L факт'!C33*A41*H20</f>
        <v>0</v>
      </c>
      <c r="I59" s="352" t="str">
        <f>#REF!/#REF!*A41*I20</f>
        <v>#REF!</v>
      </c>
      <c r="J59" s="352" t="str">
        <f>#REF!/#REF!*A41*J20</f>
        <v>#REF!</v>
      </c>
      <c r="K59" s="352" t="str">
        <f>#REF!/#REF!*A41*K20</f>
        <v>#REF!</v>
      </c>
      <c r="L59" s="352" t="str">
        <f>#REF!/#REF!*A41*L20</f>
        <v>#REF!</v>
      </c>
      <c r="M59" s="353" t="str">
        <f>#REF!/#REF!*M41</f>
        <v>#REF!</v>
      </c>
      <c r="N59" s="334" t="str">
        <f t="shared" si="4"/>
        <v>#REF!</v>
      </c>
      <c r="O59" s="6" t="str">
        <f t="shared" si="5"/>
        <v>#REF!</v>
      </c>
      <c r="P59" s="335" t="str">
        <f t="shared" si="6"/>
        <v>#REF!</v>
      </c>
      <c r="Q59" s="335" t="str">
        <f t="shared" si="7"/>
        <v>#REF!</v>
      </c>
      <c r="R59" s="335" t="str">
        <f t="shared" si="8"/>
        <v>#REF!</v>
      </c>
      <c r="S59" s="335" t="str">
        <f t="shared" si="9"/>
        <v>#REF!</v>
      </c>
      <c r="T59" s="335" t="str">
        <f t="shared" si="10"/>
        <v>#REF!</v>
      </c>
      <c r="U59" s="335" t="str">
        <f t="shared" si="11"/>
        <v>#REF!</v>
      </c>
      <c r="V59" s="335" t="str">
        <f t="shared" si="12"/>
        <v>#REF!</v>
      </c>
      <c r="W59" s="335" t="str">
        <f t="shared" si="13"/>
        <v>#REF!</v>
      </c>
    </row>
    <row r="60" ht="27.75" hidden="1" customHeight="1">
      <c r="A60" s="315" t="s">
        <v>168</v>
      </c>
      <c r="B60" s="354">
        <f>'P&amp;L факт'!C25*B21*A41</f>
        <v>0</v>
      </c>
      <c r="C60" s="354">
        <f>'P&amp;L факт'!C26*C21*A41</f>
        <v>0</v>
      </c>
      <c r="D60" s="354">
        <f>('P&amp;L факт'!E34+'P&amp;L факт'!E35)/('P&amp;L факт'!D34+'P&amp;L факт'!D35)*A41*D21</f>
        <v>0</v>
      </c>
      <c r="E60" s="354">
        <f>'P&amp;L факт'!C27*E21*A41</f>
        <v>0</v>
      </c>
      <c r="F60" s="354">
        <f>'P&amp;L факт'!C28*F21*A41</f>
        <v>0</v>
      </c>
      <c r="G60" s="354">
        <f>'P&amp;L факт'!C29*A41*G21</f>
        <v>0</v>
      </c>
      <c r="H60" s="354">
        <f>'P&amp;L факт'!C33*A41*H21</f>
        <v>0</v>
      </c>
      <c r="I60" s="354" t="str">
        <f>#REF!/#REF!*A41*I21</f>
        <v>#REF!</v>
      </c>
      <c r="J60" s="359" t="str">
        <f>#REF!/#REF!*A41*J21</f>
        <v>#REF!</v>
      </c>
      <c r="K60" s="354" t="str">
        <f>#REF!/#REF!*A41*K21</f>
        <v>#REF!</v>
      </c>
      <c r="L60" s="354" t="str">
        <f>#REF!/#REF!*A41*L21</f>
        <v>#REF!</v>
      </c>
      <c r="M60" s="355" t="str">
        <f>#REF!/#REF!*M41</f>
        <v>#REF!</v>
      </c>
      <c r="N60" s="334" t="str">
        <f t="shared" si="4"/>
        <v>#REF!</v>
      </c>
      <c r="O60" s="6" t="str">
        <f t="shared" si="5"/>
        <v>#REF!</v>
      </c>
      <c r="P60" s="335" t="str">
        <f t="shared" si="6"/>
        <v>#REF!</v>
      </c>
      <c r="Q60" s="335" t="str">
        <f t="shared" si="7"/>
        <v>#REF!</v>
      </c>
      <c r="R60" s="335" t="str">
        <f t="shared" si="8"/>
        <v>#REF!</v>
      </c>
      <c r="S60" s="335" t="str">
        <f t="shared" si="9"/>
        <v>#REF!</v>
      </c>
      <c r="T60" s="335" t="str">
        <f t="shared" si="10"/>
        <v>#REF!</v>
      </c>
      <c r="U60" s="335" t="str">
        <f t="shared" si="11"/>
        <v>#REF!</v>
      </c>
      <c r="V60" s="335" t="str">
        <f t="shared" si="12"/>
        <v>#REF!</v>
      </c>
      <c r="W60" s="335" t="str">
        <f t="shared" si="13"/>
        <v>#REF!</v>
      </c>
    </row>
    <row r="61" ht="27.75" hidden="1" customHeight="1">
      <c r="A61" s="303" t="s">
        <v>169</v>
      </c>
      <c r="B61" s="348">
        <f>'P&amp;L факт'!C25*B22*A41</f>
        <v>0</v>
      </c>
      <c r="C61" s="348">
        <f>'P&amp;L факт'!C26*C22*A41</f>
        <v>0</v>
      </c>
      <c r="D61" s="348">
        <f>('P&amp;L факт'!E34+'P&amp;L факт'!E35)/('P&amp;L факт'!D34+'P&amp;L факт'!D35)*A41*D22</f>
        <v>0</v>
      </c>
      <c r="E61" s="348">
        <f>'P&amp;L факт'!C27*E22*A41</f>
        <v>0</v>
      </c>
      <c r="F61" s="348">
        <f>'P&amp;L факт'!C28*F22*A41</f>
        <v>0</v>
      </c>
      <c r="G61" s="348">
        <f>'P&amp;L факт'!C29*A41*G22</f>
        <v>0</v>
      </c>
      <c r="H61" s="348">
        <f>'P&amp;L факт'!C33*A41*H22</f>
        <v>0</v>
      </c>
      <c r="I61" s="348" t="str">
        <f>#REF!/#REF!*A41*I22</f>
        <v>#REF!</v>
      </c>
      <c r="J61" s="348" t="str">
        <f>#REF!/#REF!*A41*J22</f>
        <v>#REF!</v>
      </c>
      <c r="K61" s="348" t="str">
        <f>#REF!/#REF!*A41*K22</f>
        <v>#REF!</v>
      </c>
      <c r="L61" s="348" t="str">
        <f>#REF!/#REF!*A41*L22</f>
        <v>#REF!</v>
      </c>
      <c r="M61" s="349" t="str">
        <f>#REF!/#REF!*M41</f>
        <v>#REF!</v>
      </c>
      <c r="N61" s="334" t="str">
        <f t="shared" si="4"/>
        <v>#REF!</v>
      </c>
      <c r="O61" s="6" t="str">
        <f t="shared" si="5"/>
        <v>#REF!</v>
      </c>
      <c r="P61" s="335" t="str">
        <f t="shared" si="6"/>
        <v>#REF!</v>
      </c>
      <c r="Q61" s="335" t="str">
        <f t="shared" si="7"/>
        <v>#REF!</v>
      </c>
      <c r="R61" s="335" t="str">
        <f t="shared" si="8"/>
        <v>#REF!</v>
      </c>
      <c r="S61" s="335" t="str">
        <f t="shared" si="9"/>
        <v>#REF!</v>
      </c>
      <c r="T61" s="335" t="str">
        <f t="shared" si="10"/>
        <v>#REF!</v>
      </c>
      <c r="U61" s="335" t="str">
        <f t="shared" si="11"/>
        <v>#REF!</v>
      </c>
      <c r="V61" s="335" t="str">
        <f t="shared" si="12"/>
        <v>#REF!</v>
      </c>
      <c r="W61" s="335" t="str">
        <f t="shared" si="13"/>
        <v>#REF!</v>
      </c>
    </row>
    <row r="62" ht="27.75" hidden="1" customHeight="1">
      <c r="A62" s="300" t="s">
        <v>170</v>
      </c>
      <c r="B62" s="350">
        <f>'P&amp;L факт'!C25*B23*A41</f>
        <v>0</v>
      </c>
      <c r="C62" s="350">
        <f>'P&amp;L факт'!C26*C23*A41</f>
        <v>0</v>
      </c>
      <c r="D62" s="350">
        <f>('P&amp;L факт'!E34+'P&amp;L факт'!E35)/('P&amp;L факт'!D34+'P&amp;L факт'!D35)*A41*D23</f>
        <v>0</v>
      </c>
      <c r="E62" s="350">
        <f>'P&amp;L факт'!C27*E23*A41</f>
        <v>0</v>
      </c>
      <c r="F62" s="350">
        <f>'P&amp;L факт'!C28*F23*A41</f>
        <v>0</v>
      </c>
      <c r="G62" s="350">
        <f>'P&amp;L факт'!C29*A41*G23</f>
        <v>0</v>
      </c>
      <c r="H62" s="350">
        <f>'P&amp;L факт'!C33*A41*H23</f>
        <v>0</v>
      </c>
      <c r="I62" s="350" t="str">
        <f>#REF!/#REF!*A41*I23</f>
        <v>#REF!</v>
      </c>
      <c r="J62" s="350" t="str">
        <f>#REF!/#REF!*A41*J23</f>
        <v>#REF!</v>
      </c>
      <c r="K62" s="350" t="str">
        <f>#REF!/#REF!*A41*K23</f>
        <v>#REF!</v>
      </c>
      <c r="L62" s="350" t="str">
        <f>#REF!/#REF!*A41*L23</f>
        <v>#REF!</v>
      </c>
      <c r="M62" s="351" t="str">
        <f>#REF!/#REF!*M41</f>
        <v>#REF!</v>
      </c>
      <c r="N62" s="334" t="str">
        <f t="shared" si="4"/>
        <v>#REF!</v>
      </c>
      <c r="O62" s="6" t="str">
        <f t="shared" si="5"/>
        <v>#REF!</v>
      </c>
      <c r="P62" s="335" t="str">
        <f t="shared" si="6"/>
        <v>#REF!</v>
      </c>
      <c r="Q62" s="335" t="str">
        <f t="shared" si="7"/>
        <v>#REF!</v>
      </c>
      <c r="R62" s="335" t="str">
        <f t="shared" si="8"/>
        <v>#REF!</v>
      </c>
      <c r="S62" s="335" t="str">
        <f t="shared" si="9"/>
        <v>#REF!</v>
      </c>
      <c r="T62" s="335" t="str">
        <f t="shared" si="10"/>
        <v>#REF!</v>
      </c>
      <c r="U62" s="335" t="str">
        <f t="shared" si="11"/>
        <v>#REF!</v>
      </c>
      <c r="V62" s="335" t="str">
        <f t="shared" si="12"/>
        <v>#REF!</v>
      </c>
      <c r="W62" s="335" t="str">
        <f t="shared" si="13"/>
        <v>#REF!</v>
      </c>
    </row>
    <row r="63" ht="27.75" customHeight="1">
      <c r="A63" s="360" t="s">
        <v>171</v>
      </c>
      <c r="B63" s="361">
        <f>'P&amp;L факт'!C25*B24*B41</f>
        <v>4.73688</v>
      </c>
      <c r="C63" s="361">
        <f>'P&amp;L факт'!C26*C24*B41</f>
        <v>0</v>
      </c>
      <c r="D63" s="361">
        <f>'P&amp;L факт'!C34*B41*D24</f>
        <v>6.8</v>
      </c>
      <c r="E63" s="361">
        <f>'P&amp;L факт'!C27*E24*B41</f>
        <v>5.695</v>
      </c>
      <c r="F63" s="361">
        <f>'P&amp;L факт'!C28*F24*B41</f>
        <v>7.849142857</v>
      </c>
      <c r="G63" s="361">
        <f>'P&amp;L факт'!C29*B41*G24</f>
        <v>20.66088462</v>
      </c>
      <c r="H63" s="361">
        <f>'P&amp;L факт'!C33*B41*H24</f>
        <v>3.763733766</v>
      </c>
      <c r="I63" s="361">
        <f>'P&amp;L факт'!C30*B41*I24</f>
        <v>0</v>
      </c>
      <c r="J63" s="362">
        <f>'P&amp;L факт'!C31*B41*J24</f>
        <v>9.546153846</v>
      </c>
      <c r="K63" s="361">
        <f>'P&amp;L факт'!C36*B41*K24</f>
        <v>3.586227273</v>
      </c>
      <c r="L63" s="361">
        <f>'P&amp;L факт'!C32*B41*L24</f>
        <v>3.825</v>
      </c>
      <c r="M63" s="363">
        <f>'P&amp;L факт'!C37*M41</f>
        <v>14.5</v>
      </c>
      <c r="N63" s="341">
        <f t="shared" si="4"/>
        <v>80.96302236</v>
      </c>
      <c r="O63" s="279">
        <f t="shared" si="5"/>
        <v>48.57781341</v>
      </c>
      <c r="P63" s="342">
        <f t="shared" si="6"/>
        <v>97.15562683</v>
      </c>
      <c r="Q63" s="342">
        <f t="shared" si="7"/>
        <v>145.7334402</v>
      </c>
      <c r="R63" s="342">
        <f t="shared" si="8"/>
        <v>178.1186492</v>
      </c>
      <c r="S63" s="342">
        <f t="shared" si="9"/>
        <v>242.8890671</v>
      </c>
      <c r="T63" s="342">
        <f t="shared" si="10"/>
        <v>283.3705783</v>
      </c>
      <c r="U63" s="342">
        <f t="shared" si="11"/>
        <v>323.8520894</v>
      </c>
      <c r="V63" s="342">
        <f t="shared" si="12"/>
        <v>404.8151118</v>
      </c>
      <c r="W63" s="342">
        <f t="shared" si="13"/>
        <v>485.7781341</v>
      </c>
      <c r="X63" s="343"/>
      <c r="Y63" s="343"/>
      <c r="Z63" s="343"/>
      <c r="AA63" s="343"/>
      <c r="AB63" s="343"/>
    </row>
    <row r="64" ht="27.75" hidden="1" customHeight="1">
      <c r="A64" s="364" t="s">
        <v>190</v>
      </c>
      <c r="B64" s="315" t="s">
        <v>172</v>
      </c>
      <c r="C64" s="354">
        <f>'P&amp;L факт'!C25*B25*A41</f>
        <v>0</v>
      </c>
      <c r="D64" s="354">
        <f>'P&amp;L факт'!C26*C25*A41</f>
        <v>0</v>
      </c>
      <c r="E64" s="354">
        <f>('P&amp;L факт'!E34+'P&amp;L факт'!E35)/('P&amp;L факт'!D34+'P&amp;L факт'!D35)*A41*D25</f>
        <v>0</v>
      </c>
      <c r="F64" s="354">
        <f>'P&amp;L факт'!C27*E25*A41</f>
        <v>0</v>
      </c>
      <c r="G64" s="354">
        <f>'P&amp;L факт'!C28*F25*A41</f>
        <v>0</v>
      </c>
      <c r="H64" s="354">
        <f>'P&amp;L факт'!C29*A41*G25</f>
        <v>0</v>
      </c>
      <c r="I64" s="354">
        <f>'P&amp;L факт'!C33*A41*H25</f>
        <v>0</v>
      </c>
      <c r="J64" s="354" t="str">
        <f>#REF!/#REF!*A41*I25</f>
        <v>#REF!</v>
      </c>
      <c r="K64" s="354" t="str">
        <f>#REF!/#REF!*A41*J25</f>
        <v>#REF!</v>
      </c>
      <c r="L64" s="354" t="str">
        <f>#REF!/#REF!*A41*K25</f>
        <v>#REF!</v>
      </c>
      <c r="M64" s="354" t="str">
        <f>#REF!/#REF!*A41*L25</f>
        <v>#REF!</v>
      </c>
      <c r="N64" s="355" t="str">
        <f>#REF!/#REF!*M41</f>
        <v>#REF!</v>
      </c>
      <c r="O64" s="334" t="str">
        <f t="shared" ref="O64:O67" si="14">SUM(C64:N64)</f>
        <v>#REF!</v>
      </c>
      <c r="P64" s="6" t="str">
        <f t="shared" ref="P64:P67" si="15">O64*0.6</f>
        <v>#REF!</v>
      </c>
      <c r="Q64" s="335" t="str">
        <f t="shared" ref="Q64:Q67" si="16">O64*1.2</f>
        <v>#REF!</v>
      </c>
      <c r="R64" s="335" t="str">
        <f t="shared" ref="R64:R67" si="17">O64*1.8</f>
        <v>#REF!</v>
      </c>
      <c r="S64" s="335" t="str">
        <f t="shared" ref="S64:S67" si="18">O64*2.2</f>
        <v>#REF!</v>
      </c>
      <c r="T64" s="335" t="str">
        <f t="shared" ref="T64:T67" si="19">O64*3</f>
        <v>#REF!</v>
      </c>
      <c r="U64" s="335" t="str">
        <f t="shared" ref="U64:U67" si="20">O64*3.5</f>
        <v>#REF!</v>
      </c>
      <c r="V64" s="335" t="str">
        <f t="shared" ref="V64:V67" si="21">O64*4</f>
        <v>#REF!</v>
      </c>
      <c r="W64" s="335" t="str">
        <f t="shared" ref="W64:W67" si="22">O64*5</f>
        <v>#REF!</v>
      </c>
      <c r="X64" s="335" t="str">
        <f t="shared" ref="X64:X67" si="23">O64*6</f>
        <v>#REF!</v>
      </c>
    </row>
    <row r="65" ht="27.75" hidden="1" customHeight="1">
      <c r="A65" s="364" t="s">
        <v>191</v>
      </c>
      <c r="B65" s="307"/>
      <c r="C65" s="352">
        <f>'P&amp;L факт'!C25*B26*A41</f>
        <v>0</v>
      </c>
      <c r="D65" s="352">
        <f>'P&amp;L факт'!C26*C26*A41</f>
        <v>0</v>
      </c>
      <c r="E65" s="352">
        <f>('P&amp;L факт'!E34+'P&amp;L факт'!E35)/('P&amp;L факт'!D34+'P&amp;L факт'!D35)*A41*D26</f>
        <v>0</v>
      </c>
      <c r="F65" s="352">
        <f>'P&amp;L факт'!C27*E26*A41</f>
        <v>0</v>
      </c>
      <c r="G65" s="352">
        <f>'P&amp;L факт'!C28*F26*A41</f>
        <v>0</v>
      </c>
      <c r="H65" s="352">
        <f>'P&amp;L факт'!C29*A41*G26</f>
        <v>0</v>
      </c>
      <c r="I65" s="352">
        <f>'P&amp;L факт'!C33*A41*H26</f>
        <v>0</v>
      </c>
      <c r="J65" s="352" t="str">
        <f>#REF!/#REF!*A41*I26</f>
        <v>#REF!</v>
      </c>
      <c r="K65" s="352" t="str">
        <f>#REF!/#REF!*A41*J26</f>
        <v>#REF!</v>
      </c>
      <c r="L65" s="352" t="str">
        <f>#REF!/#REF!*A41*K26</f>
        <v>#REF!</v>
      </c>
      <c r="M65" s="352" t="str">
        <f>#REF!/#REF!*A41*L26</f>
        <v>#REF!</v>
      </c>
      <c r="N65" s="353" t="str">
        <f>#REF!/#REF!*M41</f>
        <v>#REF!</v>
      </c>
      <c r="O65" s="334" t="str">
        <f t="shared" si="14"/>
        <v>#REF!</v>
      </c>
      <c r="P65" s="6" t="str">
        <f t="shared" si="15"/>
        <v>#REF!</v>
      </c>
      <c r="Q65" s="335" t="str">
        <f t="shared" si="16"/>
        <v>#REF!</v>
      </c>
      <c r="R65" s="335" t="str">
        <f t="shared" si="17"/>
        <v>#REF!</v>
      </c>
      <c r="S65" s="335" t="str">
        <f t="shared" si="18"/>
        <v>#REF!</v>
      </c>
      <c r="T65" s="335" t="str">
        <f t="shared" si="19"/>
        <v>#REF!</v>
      </c>
      <c r="U65" s="335" t="str">
        <f t="shared" si="20"/>
        <v>#REF!</v>
      </c>
      <c r="V65" s="335" t="str">
        <f t="shared" si="21"/>
        <v>#REF!</v>
      </c>
      <c r="W65" s="335" t="str">
        <f t="shared" si="22"/>
        <v>#REF!</v>
      </c>
      <c r="X65" s="335" t="str">
        <f t="shared" si="23"/>
        <v>#REF!</v>
      </c>
    </row>
    <row r="66" ht="27.75" hidden="1" customHeight="1">
      <c r="A66" s="364" t="s">
        <v>192</v>
      </c>
      <c r="B66" s="315"/>
      <c r="C66" s="354">
        <f>'P&amp;L факт'!C25*B27*A41</f>
        <v>0</v>
      </c>
      <c r="D66" s="354">
        <f>'P&amp;L факт'!C26*C27*A41</f>
        <v>0</v>
      </c>
      <c r="E66" s="354">
        <f>('P&amp;L факт'!E34+'P&amp;L факт'!E35)/('P&amp;L факт'!D34+'P&amp;L факт'!D35)*A41*D27</f>
        <v>0</v>
      </c>
      <c r="F66" s="354">
        <f>'P&amp;L факт'!C27*E27*A41</f>
        <v>0</v>
      </c>
      <c r="G66" s="354">
        <f>'P&amp;L факт'!C28*F27*A41</f>
        <v>0</v>
      </c>
      <c r="H66" s="354">
        <f>'P&amp;L факт'!C29*A41*G27</f>
        <v>0</v>
      </c>
      <c r="I66" s="354">
        <f>'P&amp;L факт'!C33*A41*H27</f>
        <v>0</v>
      </c>
      <c r="J66" s="354" t="str">
        <f>#REF!/#REF!*A41*I27</f>
        <v>#REF!</v>
      </c>
      <c r="K66" s="354" t="str">
        <f>#REF!/#REF!*A41*J27</f>
        <v>#REF!</v>
      </c>
      <c r="L66" s="354" t="str">
        <f>#REF!/#REF!*A41*K27</f>
        <v>#REF!</v>
      </c>
      <c r="M66" s="354" t="str">
        <f>#REF!/#REF!*A41*L27</f>
        <v>#REF!</v>
      </c>
      <c r="N66" s="355" t="str">
        <f>#REF!/#REF!*M41</f>
        <v>#REF!</v>
      </c>
      <c r="O66" s="334" t="str">
        <f t="shared" si="14"/>
        <v>#REF!</v>
      </c>
      <c r="P66" s="6" t="str">
        <f t="shared" si="15"/>
        <v>#REF!</v>
      </c>
      <c r="Q66" s="335" t="str">
        <f t="shared" si="16"/>
        <v>#REF!</v>
      </c>
      <c r="R66" s="335" t="str">
        <f t="shared" si="17"/>
        <v>#REF!</v>
      </c>
      <c r="S66" s="335" t="str">
        <f t="shared" si="18"/>
        <v>#REF!</v>
      </c>
      <c r="T66" s="335" t="str">
        <f t="shared" si="19"/>
        <v>#REF!</v>
      </c>
      <c r="U66" s="335" t="str">
        <f t="shared" si="20"/>
        <v>#REF!</v>
      </c>
      <c r="V66" s="335" t="str">
        <f t="shared" si="21"/>
        <v>#REF!</v>
      </c>
      <c r="W66" s="335" t="str">
        <f t="shared" si="22"/>
        <v>#REF!</v>
      </c>
      <c r="X66" s="335" t="str">
        <f t="shared" si="23"/>
        <v>#REF!</v>
      </c>
    </row>
    <row r="67" ht="27.75" hidden="1" customHeight="1">
      <c r="A67" s="365" t="s">
        <v>193</v>
      </c>
      <c r="B67" s="303" t="s">
        <v>173</v>
      </c>
      <c r="C67" s="348">
        <f>'P&amp;L факт'!C25*B28*A41</f>
        <v>0</v>
      </c>
      <c r="D67" s="348">
        <f>'P&amp;L факт'!C26*C28*A41</f>
        <v>0</v>
      </c>
      <c r="E67" s="348">
        <f>('P&amp;L факт'!E34+'P&amp;L факт'!E35)/('P&amp;L факт'!D34+'P&amp;L факт'!D35)*A41*D28</f>
        <v>0</v>
      </c>
      <c r="F67" s="348">
        <f>'P&amp;L факт'!C27*E28*A41</f>
        <v>0</v>
      </c>
      <c r="G67" s="348">
        <f>'P&amp;L факт'!C28*F28*A41</f>
        <v>0</v>
      </c>
      <c r="H67" s="348">
        <f>'P&amp;L факт'!C29*A41*G28</f>
        <v>0</v>
      </c>
      <c r="I67" s="348">
        <f>'P&amp;L факт'!C33*A41*H28</f>
        <v>0</v>
      </c>
      <c r="J67" s="348" t="str">
        <f>#REF!/#REF!*A41*I28</f>
        <v>#REF!</v>
      </c>
      <c r="K67" s="348" t="str">
        <f>#REF!/#REF!*A41*J28</f>
        <v>#REF!</v>
      </c>
      <c r="L67" s="348" t="str">
        <f>#REF!/#REF!*A41*K28</f>
        <v>#REF!</v>
      </c>
      <c r="M67" s="348" t="str">
        <f>#REF!/#REF!*A41*L28</f>
        <v>#REF!</v>
      </c>
      <c r="N67" s="349" t="str">
        <f>#REF!/#REF!*M41</f>
        <v>#REF!</v>
      </c>
      <c r="O67" s="334" t="str">
        <f t="shared" si="14"/>
        <v>#REF!</v>
      </c>
      <c r="P67" s="6" t="str">
        <f t="shared" si="15"/>
        <v>#REF!</v>
      </c>
      <c r="Q67" s="335" t="str">
        <f t="shared" si="16"/>
        <v>#REF!</v>
      </c>
      <c r="R67" s="335" t="str">
        <f t="shared" si="17"/>
        <v>#REF!</v>
      </c>
      <c r="S67" s="335" t="str">
        <f t="shared" si="18"/>
        <v>#REF!</v>
      </c>
      <c r="T67" s="335" t="str">
        <f t="shared" si="19"/>
        <v>#REF!</v>
      </c>
      <c r="U67" s="335" t="str">
        <f t="shared" si="20"/>
        <v>#REF!</v>
      </c>
      <c r="V67" s="335" t="str">
        <f t="shared" si="21"/>
        <v>#REF!</v>
      </c>
      <c r="W67" s="335" t="str">
        <f t="shared" si="22"/>
        <v>#REF!</v>
      </c>
      <c r="X67" s="335" t="str">
        <f t="shared" si="23"/>
        <v>#REF!</v>
      </c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</row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mergeCells count="6">
    <mergeCell ref="A33:G33"/>
    <mergeCell ref="A34:G34"/>
    <mergeCell ref="A35:G35"/>
    <mergeCell ref="A36:G36"/>
    <mergeCell ref="A37:G37"/>
    <mergeCell ref="B41:L41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4.75"/>
    <col customWidth="1" min="3" max="3" width="27.13"/>
    <col customWidth="1" min="4" max="4" width="17.38"/>
    <col customWidth="1" min="8" max="15" width="11.38"/>
  </cols>
  <sheetData>
    <row r="1">
      <c r="A1" s="366"/>
      <c r="B1" s="367"/>
      <c r="C1" s="367"/>
      <c r="D1" s="368"/>
      <c r="E1" s="191"/>
      <c r="F1" s="191"/>
      <c r="G1" s="191"/>
      <c r="H1" s="20"/>
      <c r="I1" s="20"/>
      <c r="J1" s="20"/>
      <c r="K1" s="20"/>
      <c r="L1" s="20"/>
      <c r="M1" s="20"/>
      <c r="N1" s="20"/>
      <c r="O1" s="20"/>
      <c r="P1" s="191"/>
      <c r="Q1" s="191"/>
    </row>
    <row r="2">
      <c r="A2" s="366"/>
      <c r="B2" s="369" t="s">
        <v>194</v>
      </c>
      <c r="C2" s="370"/>
      <c r="D2" s="371"/>
      <c r="E2" s="191"/>
      <c r="F2" s="372"/>
      <c r="G2" s="372"/>
      <c r="H2" s="20"/>
      <c r="I2" s="20"/>
      <c r="J2" s="20"/>
      <c r="K2" s="20"/>
      <c r="L2" s="20"/>
      <c r="M2" s="20"/>
      <c r="N2" s="20"/>
      <c r="O2" s="20"/>
      <c r="P2" s="191"/>
      <c r="Q2" s="191"/>
    </row>
    <row r="3">
      <c r="A3" s="366"/>
      <c r="B3" s="373"/>
      <c r="C3" s="373" t="s">
        <v>195</v>
      </c>
      <c r="E3" s="374"/>
      <c r="F3" s="374"/>
      <c r="G3" s="191"/>
      <c r="H3" s="32"/>
      <c r="P3" s="191"/>
    </row>
    <row r="4" ht="34.5" customHeight="1">
      <c r="A4" s="366"/>
      <c r="B4" s="375"/>
      <c r="C4" s="375" t="s">
        <v>196</v>
      </c>
      <c r="D4" s="376" t="s">
        <v>197</v>
      </c>
      <c r="E4" s="191"/>
      <c r="F4" s="372"/>
      <c r="G4" s="372"/>
      <c r="H4" s="32"/>
      <c r="I4" s="32"/>
      <c r="J4" s="32"/>
      <c r="K4" s="32"/>
      <c r="L4" s="32"/>
      <c r="M4" s="32"/>
      <c r="N4" s="32"/>
      <c r="O4" s="32"/>
      <c r="P4" s="191"/>
      <c r="Q4" s="191"/>
    </row>
    <row r="5">
      <c r="B5" s="377" t="b">
        <v>1</v>
      </c>
      <c r="C5" s="378" t="s">
        <v>198</v>
      </c>
      <c r="D5" s="379" t="s">
        <v>199</v>
      </c>
      <c r="E5" s="191"/>
      <c r="F5" s="191"/>
      <c r="G5" s="197"/>
      <c r="H5" s="20"/>
      <c r="I5" s="20"/>
      <c r="J5" s="20"/>
      <c r="K5" s="20"/>
      <c r="L5" s="20"/>
      <c r="M5" s="20"/>
      <c r="N5" s="20"/>
      <c r="O5" s="20"/>
      <c r="P5" s="191"/>
      <c r="Q5" s="191"/>
    </row>
    <row r="6">
      <c r="B6" s="380" t="b">
        <v>1</v>
      </c>
      <c r="C6" s="381" t="s">
        <v>33</v>
      </c>
      <c r="D6" s="382" t="s">
        <v>200</v>
      </c>
      <c r="E6" s="191"/>
      <c r="F6" s="191"/>
      <c r="G6" s="197"/>
      <c r="H6" s="20"/>
      <c r="I6" s="20"/>
      <c r="J6" s="20"/>
      <c r="K6" s="20"/>
      <c r="L6" s="20"/>
      <c r="M6" s="20"/>
      <c r="N6" s="20"/>
      <c r="O6" s="20"/>
      <c r="P6" s="191"/>
      <c r="Q6" s="191"/>
    </row>
    <row r="7">
      <c r="B7" s="373"/>
      <c r="C7" s="373" t="s">
        <v>201</v>
      </c>
      <c r="E7" s="191"/>
      <c r="F7" s="191"/>
      <c r="G7" s="191"/>
      <c r="H7" s="20"/>
      <c r="I7" s="20"/>
      <c r="J7" s="20"/>
      <c r="K7" s="20"/>
      <c r="L7" s="20"/>
      <c r="M7" s="20"/>
      <c r="N7" s="20"/>
      <c r="O7" s="20"/>
      <c r="P7" s="191"/>
      <c r="Q7" s="191"/>
    </row>
    <row r="8" ht="36.75" customHeight="1">
      <c r="B8" s="375"/>
      <c r="C8" s="375" t="s">
        <v>196</v>
      </c>
      <c r="D8" s="383" t="s">
        <v>197</v>
      </c>
      <c r="E8" s="191"/>
      <c r="F8" s="384"/>
      <c r="G8" s="384"/>
      <c r="H8" s="20"/>
      <c r="I8" s="20"/>
      <c r="J8" s="20"/>
      <c r="K8" s="20"/>
      <c r="L8" s="20"/>
      <c r="M8" s="20"/>
      <c r="N8" s="20"/>
      <c r="O8" s="20"/>
      <c r="P8" s="191"/>
      <c r="Q8" s="191"/>
    </row>
    <row r="9">
      <c r="B9" s="377" t="b">
        <v>1</v>
      </c>
      <c r="C9" s="385" t="s">
        <v>34</v>
      </c>
      <c r="D9" s="386" t="s">
        <v>202</v>
      </c>
      <c r="E9" s="191"/>
      <c r="F9" s="191"/>
      <c r="G9" s="197"/>
      <c r="H9" s="20"/>
      <c r="I9" s="20"/>
      <c r="J9" s="20"/>
      <c r="K9" s="20"/>
      <c r="L9" s="20"/>
      <c r="M9" s="20"/>
      <c r="N9" s="20"/>
      <c r="O9" s="20"/>
      <c r="P9" s="191"/>
      <c r="Q9" s="191"/>
    </row>
    <row r="10">
      <c r="B10" s="377" t="b">
        <v>1</v>
      </c>
      <c r="C10" s="385" t="s">
        <v>203</v>
      </c>
      <c r="D10" s="386" t="s">
        <v>204</v>
      </c>
      <c r="E10" s="191"/>
      <c r="F10" s="191"/>
      <c r="G10" s="197"/>
      <c r="H10" s="20"/>
      <c r="I10" s="20"/>
      <c r="J10" s="20"/>
      <c r="K10" s="20"/>
      <c r="L10" s="20"/>
      <c r="M10" s="20"/>
      <c r="N10" s="20"/>
      <c r="O10" s="20"/>
      <c r="P10" s="191"/>
      <c r="Q10" s="191"/>
    </row>
    <row r="11">
      <c r="B11" s="387" t="b">
        <v>1</v>
      </c>
      <c r="C11" s="388" t="s">
        <v>35</v>
      </c>
      <c r="D11" s="389" t="s">
        <v>205</v>
      </c>
      <c r="E11" s="191"/>
      <c r="F11" s="191"/>
      <c r="G11" s="191"/>
      <c r="H11" s="20"/>
      <c r="I11" s="20"/>
      <c r="J11" s="20"/>
      <c r="K11" s="20"/>
      <c r="L11" s="20"/>
      <c r="M11" s="20"/>
      <c r="N11" s="20"/>
      <c r="O11" s="20"/>
      <c r="P11" s="191"/>
      <c r="Q11" s="191"/>
    </row>
    <row r="12">
      <c r="B12" s="377" t="b">
        <v>1</v>
      </c>
      <c r="C12" s="385" t="s">
        <v>36</v>
      </c>
      <c r="D12" s="379" t="s">
        <v>206</v>
      </c>
      <c r="E12" s="191"/>
      <c r="F12" s="191"/>
      <c r="G12" s="191"/>
      <c r="H12" s="20"/>
      <c r="I12" s="20"/>
      <c r="J12" s="20"/>
      <c r="K12" s="20"/>
      <c r="L12" s="20"/>
      <c r="M12" s="20"/>
      <c r="N12" s="20"/>
      <c r="O12" s="20"/>
      <c r="P12" s="191"/>
      <c r="Q12" s="191"/>
    </row>
    <row r="13">
      <c r="B13" s="387" t="b">
        <v>1</v>
      </c>
      <c r="C13" s="388" t="s">
        <v>37</v>
      </c>
      <c r="D13" s="389" t="s">
        <v>207</v>
      </c>
      <c r="E13" s="191"/>
      <c r="F13" s="191"/>
      <c r="G13" s="197"/>
      <c r="H13" s="20"/>
      <c r="I13" s="20"/>
      <c r="J13" s="20"/>
      <c r="K13" s="20"/>
      <c r="L13" s="20"/>
      <c r="M13" s="20"/>
      <c r="N13" s="20"/>
      <c r="O13" s="20"/>
      <c r="P13" s="191"/>
      <c r="Q13" s="191"/>
    </row>
    <row r="14">
      <c r="B14" s="377" t="b">
        <v>1</v>
      </c>
      <c r="C14" s="385" t="s">
        <v>38</v>
      </c>
      <c r="D14" s="379" t="s">
        <v>208</v>
      </c>
      <c r="E14" s="191"/>
      <c r="F14" s="191"/>
      <c r="G14" s="191"/>
      <c r="H14" s="20"/>
      <c r="I14" s="20"/>
      <c r="J14" s="20"/>
      <c r="K14" s="20"/>
      <c r="L14" s="20"/>
      <c r="M14" s="20"/>
      <c r="N14" s="20"/>
      <c r="O14" s="20"/>
      <c r="P14" s="191"/>
      <c r="Q14" s="191"/>
    </row>
    <row r="15">
      <c r="B15" s="387" t="b">
        <v>1</v>
      </c>
      <c r="C15" s="388" t="s">
        <v>39</v>
      </c>
      <c r="D15" s="389" t="s">
        <v>209</v>
      </c>
      <c r="E15" s="191"/>
      <c r="F15" s="191"/>
      <c r="G15" s="197"/>
      <c r="H15" s="20"/>
      <c r="I15" s="20"/>
      <c r="J15" s="20"/>
      <c r="K15" s="20"/>
      <c r="L15" s="20"/>
      <c r="M15" s="20"/>
      <c r="N15" s="20"/>
      <c r="O15" s="20"/>
      <c r="P15" s="191"/>
      <c r="Q15" s="191"/>
    </row>
    <row r="16">
      <c r="B16" s="377" t="b">
        <v>1</v>
      </c>
      <c r="C16" s="385" t="s">
        <v>40</v>
      </c>
      <c r="D16" s="379" t="s">
        <v>210</v>
      </c>
      <c r="E16" s="191"/>
      <c r="F16" s="191"/>
      <c r="G16" s="191"/>
      <c r="H16" s="20"/>
      <c r="I16" s="20"/>
      <c r="J16" s="20"/>
      <c r="K16" s="20"/>
      <c r="L16" s="20"/>
      <c r="M16" s="20"/>
      <c r="N16" s="20"/>
      <c r="O16" s="20"/>
      <c r="P16" s="191"/>
      <c r="Q16" s="191"/>
    </row>
    <row r="17">
      <c r="B17" s="380" t="b">
        <v>1</v>
      </c>
      <c r="C17" s="390" t="s">
        <v>211</v>
      </c>
      <c r="D17" s="391" t="s">
        <v>212</v>
      </c>
      <c r="E17" s="191"/>
      <c r="F17" s="191"/>
      <c r="G17" s="197"/>
      <c r="H17" s="20"/>
      <c r="I17" s="20"/>
      <c r="J17" s="20"/>
      <c r="K17" s="20"/>
      <c r="L17" s="20"/>
      <c r="M17" s="20"/>
      <c r="N17" s="20"/>
      <c r="O17" s="20"/>
      <c r="P17" s="191"/>
      <c r="Q17" s="191"/>
    </row>
    <row r="18">
      <c r="B18" s="380" t="b">
        <v>1</v>
      </c>
      <c r="C18" s="390" t="s">
        <v>213</v>
      </c>
      <c r="D18" s="391" t="s">
        <v>214</v>
      </c>
      <c r="E18" s="191"/>
      <c r="F18" s="191"/>
      <c r="G18" s="197"/>
      <c r="H18" s="20"/>
      <c r="I18" s="20"/>
      <c r="J18" s="20"/>
      <c r="K18" s="20"/>
      <c r="L18" s="20"/>
      <c r="M18" s="20"/>
      <c r="N18" s="20"/>
      <c r="O18" s="20"/>
      <c r="P18" s="191"/>
      <c r="Q18" s="191"/>
    </row>
    <row r="19">
      <c r="B19" s="380" t="b">
        <v>1</v>
      </c>
      <c r="C19" s="390" t="s">
        <v>43</v>
      </c>
      <c r="D19" s="391" t="s">
        <v>215</v>
      </c>
      <c r="E19" s="197"/>
      <c r="F19" s="197"/>
      <c r="G19" s="191"/>
      <c r="H19" s="20"/>
      <c r="I19" s="20"/>
      <c r="J19" s="20"/>
      <c r="K19" s="20"/>
      <c r="L19" s="20"/>
      <c r="M19" s="20"/>
      <c r="N19" s="20"/>
      <c r="O19" s="20"/>
      <c r="P19" s="191"/>
      <c r="Q19" s="191"/>
    </row>
    <row r="20">
      <c r="B20" s="392" t="s">
        <v>216</v>
      </c>
      <c r="C20" s="393"/>
      <c r="D20" s="394"/>
      <c r="E20" s="191"/>
      <c r="F20" s="191"/>
      <c r="G20" s="191"/>
      <c r="H20" s="20"/>
      <c r="I20" s="20"/>
      <c r="J20" s="20"/>
      <c r="K20" s="20"/>
      <c r="L20" s="20"/>
      <c r="M20" s="20"/>
      <c r="N20" s="20"/>
      <c r="O20" s="20"/>
      <c r="P20" s="191"/>
      <c r="Q20" s="191"/>
    </row>
    <row r="21">
      <c r="B21" s="373"/>
      <c r="C21" s="373" t="s">
        <v>179</v>
      </c>
      <c r="E21" s="191"/>
      <c r="F21" s="191"/>
      <c r="G21" s="191"/>
      <c r="H21" s="20"/>
      <c r="I21" s="20"/>
      <c r="J21" s="20"/>
      <c r="K21" s="20"/>
      <c r="L21" s="20"/>
      <c r="M21" s="20"/>
      <c r="N21" s="20"/>
      <c r="O21" s="20"/>
      <c r="P21" s="191"/>
      <c r="Q21" s="191"/>
    </row>
    <row r="22" ht="34.5" customHeight="1">
      <c r="B22" s="375"/>
      <c r="C22" s="375" t="s">
        <v>196</v>
      </c>
      <c r="D22" s="383" t="s">
        <v>197</v>
      </c>
      <c r="E22" s="191"/>
      <c r="F22" s="191"/>
      <c r="G22" s="191"/>
      <c r="H22" s="20"/>
      <c r="I22" s="20"/>
      <c r="J22" s="20"/>
      <c r="K22" s="20"/>
      <c r="L22" s="20"/>
      <c r="M22" s="20"/>
      <c r="N22" s="20"/>
      <c r="O22" s="20"/>
      <c r="P22" s="191"/>
      <c r="Q22" s="191"/>
    </row>
    <row r="23">
      <c r="B23" s="395" t="b">
        <v>1</v>
      </c>
      <c r="C23" s="396" t="s">
        <v>217</v>
      </c>
      <c r="D23" s="397" t="s">
        <v>218</v>
      </c>
      <c r="E23" s="191"/>
      <c r="F23" s="191"/>
      <c r="G23" s="191"/>
      <c r="H23" s="20"/>
      <c r="I23" s="20"/>
      <c r="J23" s="20"/>
      <c r="K23" s="20"/>
      <c r="L23" s="20"/>
      <c r="M23" s="20"/>
      <c r="N23" s="20"/>
      <c r="O23" s="20"/>
      <c r="P23" s="191"/>
      <c r="Q23" s="191"/>
    </row>
    <row r="24">
      <c r="B24" s="398" t="b">
        <v>1</v>
      </c>
      <c r="C24" s="399" t="s">
        <v>219</v>
      </c>
      <c r="D24" s="400" t="s">
        <v>220</v>
      </c>
      <c r="E24" s="191"/>
      <c r="F24" s="191"/>
      <c r="G24" s="191"/>
      <c r="H24" s="20"/>
      <c r="I24" s="20"/>
      <c r="J24" s="20"/>
      <c r="K24" s="20"/>
      <c r="L24" s="20"/>
      <c r="M24" s="20"/>
      <c r="N24" s="20"/>
      <c r="O24" s="20"/>
      <c r="P24" s="191"/>
      <c r="Q24" s="191"/>
    </row>
    <row r="25" ht="33.0" customHeight="1">
      <c r="B25" s="392" t="s">
        <v>45</v>
      </c>
      <c r="C25" s="393"/>
      <c r="D25" s="394"/>
      <c r="E25" s="191"/>
      <c r="F25" s="191"/>
      <c r="G25" s="191"/>
      <c r="H25" s="20"/>
      <c r="I25" s="20"/>
      <c r="J25" s="20"/>
      <c r="K25" s="20"/>
      <c r="L25" s="20"/>
      <c r="M25" s="20"/>
      <c r="N25" s="20"/>
      <c r="O25" s="20"/>
      <c r="P25" s="191"/>
      <c r="Q25" s="191"/>
    </row>
    <row r="26">
      <c r="B26" s="368"/>
      <c r="C26" s="367" t="s">
        <v>46</v>
      </c>
      <c r="D26" s="401" t="s">
        <v>221</v>
      </c>
      <c r="E26" s="191"/>
      <c r="F26" s="191"/>
      <c r="G26" s="191"/>
      <c r="H26" s="20"/>
      <c r="I26" s="20"/>
      <c r="J26" s="20"/>
      <c r="K26" s="20"/>
      <c r="L26" s="20"/>
      <c r="M26" s="20"/>
      <c r="N26" s="20"/>
      <c r="O26" s="20"/>
      <c r="P26" s="191"/>
      <c r="Q26" s="191"/>
    </row>
    <row r="27">
      <c r="B27" s="368"/>
      <c r="C27" s="367" t="s">
        <v>47</v>
      </c>
      <c r="D27" s="401" t="s">
        <v>222</v>
      </c>
      <c r="E27" s="191"/>
      <c r="F27" s="191"/>
      <c r="G27" s="191"/>
      <c r="H27" s="20"/>
      <c r="I27" s="20"/>
      <c r="J27" s="20"/>
      <c r="K27" s="20"/>
      <c r="L27" s="20"/>
      <c r="M27" s="20"/>
      <c r="N27" s="20"/>
      <c r="O27" s="20"/>
      <c r="P27" s="191"/>
      <c r="Q27" s="191"/>
    </row>
    <row r="28" ht="29.25" customHeight="1">
      <c r="B28" s="392" t="s">
        <v>48</v>
      </c>
      <c r="C28" s="393"/>
      <c r="D28" s="394"/>
      <c r="E28" s="191"/>
      <c r="F28" s="191"/>
      <c r="G28" s="191"/>
      <c r="H28" s="20"/>
      <c r="I28" s="20"/>
      <c r="J28" s="20"/>
      <c r="K28" s="20"/>
      <c r="L28" s="20"/>
      <c r="M28" s="20"/>
      <c r="N28" s="20"/>
      <c r="O28" s="20"/>
      <c r="P28" s="191"/>
      <c r="Q28" s="191"/>
    </row>
    <row r="29">
      <c r="A29" s="367"/>
      <c r="B29" s="367"/>
      <c r="C29" s="367" t="s">
        <v>223</v>
      </c>
      <c r="D29" s="367"/>
      <c r="E29" s="191"/>
      <c r="F29" s="191"/>
      <c r="G29" s="191"/>
      <c r="H29" s="20"/>
      <c r="I29" s="20"/>
      <c r="J29" s="20"/>
      <c r="K29" s="20"/>
      <c r="L29" s="20"/>
      <c r="M29" s="20"/>
      <c r="N29" s="20"/>
      <c r="O29" s="20"/>
      <c r="P29" s="191"/>
      <c r="Q29" s="191"/>
    </row>
    <row r="30">
      <c r="A30" s="367"/>
      <c r="B30" s="367"/>
      <c r="C30" s="367" t="s">
        <v>224</v>
      </c>
      <c r="D30" s="401" t="s">
        <v>225</v>
      </c>
      <c r="E30" s="191"/>
      <c r="F30" s="191"/>
      <c r="G30" s="191"/>
      <c r="H30" s="20"/>
      <c r="I30" s="20"/>
      <c r="J30" s="20"/>
      <c r="K30" s="20"/>
      <c r="L30" s="20"/>
      <c r="M30" s="20"/>
      <c r="N30" s="20"/>
      <c r="O30" s="20"/>
      <c r="P30" s="191"/>
      <c r="Q30" s="191"/>
    </row>
    <row r="31">
      <c r="A31" s="367"/>
      <c r="B31" s="367"/>
      <c r="C31" s="367" t="s">
        <v>226</v>
      </c>
      <c r="D31" s="401" t="s">
        <v>227</v>
      </c>
      <c r="E31" s="191"/>
      <c r="F31" s="191"/>
      <c r="G31" s="191"/>
      <c r="H31" s="20"/>
      <c r="I31" s="20"/>
      <c r="J31" s="20"/>
      <c r="K31" s="20"/>
      <c r="L31" s="20"/>
      <c r="M31" s="20"/>
      <c r="N31" s="20"/>
      <c r="O31" s="20"/>
      <c r="P31" s="191"/>
      <c r="Q31" s="191"/>
    </row>
    <row r="32">
      <c r="A32" s="367"/>
      <c r="B32" s="367"/>
      <c r="C32" s="367" t="s">
        <v>228</v>
      </c>
      <c r="D32" s="401" t="s">
        <v>229</v>
      </c>
      <c r="E32" s="191"/>
      <c r="F32" s="191"/>
      <c r="G32" s="191"/>
      <c r="H32" s="20"/>
      <c r="I32" s="20"/>
      <c r="J32" s="20"/>
      <c r="K32" s="20"/>
      <c r="L32" s="20"/>
      <c r="M32" s="20"/>
      <c r="N32" s="20"/>
      <c r="O32" s="20"/>
      <c r="P32" s="191"/>
      <c r="Q32" s="191"/>
    </row>
    <row r="33">
      <c r="A33" s="367"/>
      <c r="B33" s="367"/>
      <c r="C33" s="367" t="s">
        <v>230</v>
      </c>
      <c r="D33" s="401" t="s">
        <v>231</v>
      </c>
      <c r="E33" s="402"/>
      <c r="F33" s="191"/>
      <c r="G33" s="191"/>
      <c r="H33" s="20"/>
      <c r="I33" s="20"/>
      <c r="J33" s="20"/>
      <c r="K33" s="20"/>
      <c r="L33" s="20"/>
      <c r="M33" s="20"/>
      <c r="N33" s="20"/>
      <c r="O33" s="20"/>
      <c r="P33" s="191"/>
      <c r="Q33" s="191"/>
    </row>
    <row r="34">
      <c r="A34" s="367"/>
      <c r="B34" s="367"/>
      <c r="C34" s="367" t="s">
        <v>54</v>
      </c>
      <c r="D34" s="401" t="s">
        <v>232</v>
      </c>
      <c r="E34" s="191"/>
      <c r="F34" s="191"/>
      <c r="G34" s="191"/>
      <c r="H34" s="20"/>
      <c r="I34" s="20"/>
      <c r="J34" s="20"/>
      <c r="K34" s="20"/>
      <c r="L34" s="20"/>
      <c r="M34" s="20"/>
      <c r="N34" s="20"/>
      <c r="O34" s="20"/>
      <c r="P34" s="191"/>
      <c r="Q34" s="191"/>
    </row>
    <row r="35">
      <c r="A35" s="367"/>
      <c r="B35" s="367"/>
      <c r="C35" s="367" t="s">
        <v>55</v>
      </c>
      <c r="D35" s="401" t="s">
        <v>233</v>
      </c>
      <c r="E35" s="191"/>
      <c r="F35" s="191"/>
      <c r="G35" s="191"/>
      <c r="H35" s="20"/>
      <c r="I35" s="20"/>
      <c r="J35" s="20"/>
      <c r="K35" s="20"/>
      <c r="L35" s="20"/>
      <c r="M35" s="20"/>
      <c r="N35" s="20"/>
      <c r="O35" s="20"/>
      <c r="P35" s="191"/>
      <c r="Q35" s="191"/>
    </row>
    <row r="36">
      <c r="A36" s="367"/>
      <c r="B36" s="367"/>
      <c r="C36" s="367" t="s">
        <v>140</v>
      </c>
      <c r="D36" s="403"/>
      <c r="E36" s="191"/>
      <c r="F36" s="191"/>
      <c r="G36" s="191"/>
      <c r="H36" s="20"/>
      <c r="I36" s="20"/>
      <c r="J36" s="20"/>
      <c r="K36" s="20"/>
      <c r="L36" s="20"/>
      <c r="M36" s="20"/>
      <c r="N36" s="20"/>
      <c r="O36" s="20"/>
      <c r="P36" s="191"/>
      <c r="Q36" s="191"/>
    </row>
    <row r="37">
      <c r="A37" s="367"/>
      <c r="B37" s="367"/>
      <c r="C37" s="367"/>
      <c r="D37" s="367"/>
      <c r="E37" s="191"/>
      <c r="F37" s="191"/>
      <c r="G37" s="191"/>
      <c r="H37" s="20"/>
      <c r="I37" s="20"/>
      <c r="J37" s="20"/>
      <c r="K37" s="20"/>
      <c r="L37" s="20"/>
      <c r="M37" s="20"/>
      <c r="N37" s="20"/>
      <c r="O37" s="20"/>
      <c r="P37" s="191"/>
      <c r="Q37" s="191"/>
    </row>
    <row r="38">
      <c r="A38" s="367"/>
      <c r="B38" s="367"/>
      <c r="C38" s="367"/>
      <c r="D38" s="367"/>
      <c r="E38" s="191"/>
      <c r="F38" s="191"/>
      <c r="G38" s="191"/>
      <c r="H38" s="20"/>
      <c r="I38" s="20"/>
      <c r="J38" s="20"/>
      <c r="K38" s="20"/>
      <c r="L38" s="20"/>
      <c r="M38" s="32"/>
      <c r="N38" s="32"/>
      <c r="O38" s="20"/>
      <c r="P38" s="191"/>
      <c r="Q38" s="191"/>
      <c r="T38" s="404"/>
      <c r="U38" s="404"/>
    </row>
    <row r="39">
      <c r="A39" s="367"/>
      <c r="B39" s="367"/>
      <c r="C39" s="367"/>
      <c r="D39" s="367"/>
      <c r="E39" s="191"/>
      <c r="F39" s="191"/>
      <c r="G39" s="191"/>
      <c r="H39" s="20"/>
      <c r="I39" s="20"/>
      <c r="J39" s="20"/>
      <c r="K39" s="20"/>
      <c r="L39" s="20"/>
      <c r="M39" s="20"/>
      <c r="N39" s="20"/>
      <c r="O39" s="20"/>
      <c r="P39" s="191"/>
      <c r="Q39" s="191"/>
    </row>
    <row r="40">
      <c r="A40" s="367"/>
      <c r="B40" s="367"/>
      <c r="C40" s="367"/>
      <c r="D40" s="367"/>
      <c r="E40" s="191"/>
      <c r="F40" s="191"/>
      <c r="G40" s="191"/>
      <c r="H40" s="20"/>
      <c r="I40" s="20"/>
      <c r="J40" s="20"/>
      <c r="K40" s="20"/>
      <c r="L40" s="20"/>
      <c r="M40" s="20"/>
      <c r="N40" s="20"/>
      <c r="O40" s="20"/>
      <c r="P40" s="191"/>
      <c r="Q40" s="191"/>
    </row>
    <row r="41">
      <c r="A41" s="367"/>
      <c r="B41" s="367"/>
      <c r="C41" s="367"/>
      <c r="D41" s="367"/>
      <c r="E41" s="191"/>
      <c r="F41" s="191"/>
      <c r="G41" s="191"/>
      <c r="H41" s="20"/>
      <c r="I41" s="20"/>
      <c r="J41" s="20"/>
      <c r="K41" s="20"/>
      <c r="L41" s="20"/>
      <c r="M41" s="20"/>
      <c r="N41" s="20"/>
      <c r="O41" s="20"/>
      <c r="P41" s="191"/>
      <c r="Q41" s="191"/>
    </row>
    <row r="42">
      <c r="A42" s="367"/>
      <c r="B42" s="367"/>
      <c r="C42" s="367"/>
      <c r="D42" s="367"/>
      <c r="H42" s="6"/>
      <c r="I42" s="6"/>
      <c r="J42" s="6"/>
      <c r="K42" s="6"/>
      <c r="L42" s="6"/>
      <c r="M42" s="6"/>
      <c r="N42" s="6"/>
      <c r="O42" s="6"/>
    </row>
    <row r="43">
      <c r="B43" s="368"/>
      <c r="C43" s="368"/>
      <c r="D43" s="368"/>
      <c r="H43" s="6"/>
      <c r="I43" s="6"/>
      <c r="J43" s="6"/>
      <c r="K43" s="6"/>
      <c r="L43" s="6"/>
      <c r="M43" s="6"/>
      <c r="N43" s="6"/>
      <c r="O43" s="6"/>
    </row>
    <row r="44">
      <c r="B44" s="368"/>
      <c r="C44" s="368"/>
      <c r="D44" s="368"/>
      <c r="H44" s="6"/>
      <c r="I44" s="6"/>
      <c r="J44" s="6"/>
      <c r="K44" s="6"/>
      <c r="L44" s="6"/>
      <c r="M44" s="6"/>
      <c r="N44" s="6"/>
      <c r="O44" s="6"/>
    </row>
    <row r="45">
      <c r="B45" s="368"/>
      <c r="C45" s="368"/>
      <c r="D45" s="368"/>
      <c r="H45" s="6"/>
      <c r="I45" s="6"/>
      <c r="J45" s="6"/>
      <c r="K45" s="6"/>
      <c r="L45" s="6"/>
      <c r="M45" s="6"/>
      <c r="N45" s="6"/>
      <c r="O45" s="6"/>
    </row>
    <row r="46">
      <c r="B46" s="367"/>
      <c r="C46" s="367"/>
      <c r="D46" s="368"/>
      <c r="H46" s="6"/>
      <c r="I46" s="6"/>
      <c r="J46" s="6"/>
      <c r="K46" s="6"/>
      <c r="L46" s="6"/>
      <c r="M46" s="6"/>
      <c r="N46" s="6"/>
      <c r="O46" s="6"/>
    </row>
    <row r="47">
      <c r="B47" s="368"/>
      <c r="C47" s="368"/>
      <c r="D47" s="368"/>
      <c r="H47" s="6"/>
      <c r="I47" s="6"/>
      <c r="J47" s="6"/>
      <c r="K47" s="6"/>
      <c r="L47" s="6"/>
      <c r="M47" s="6"/>
      <c r="N47" s="6"/>
      <c r="O47" s="6"/>
    </row>
    <row r="48">
      <c r="B48" s="367"/>
      <c r="C48" s="367"/>
      <c r="D48" s="368"/>
      <c r="H48" s="6"/>
      <c r="I48" s="6"/>
      <c r="J48" s="6"/>
      <c r="K48" s="6"/>
      <c r="L48" s="6"/>
      <c r="M48" s="6"/>
      <c r="N48" s="6"/>
      <c r="O48" s="6"/>
    </row>
    <row r="49">
      <c r="B49" s="367"/>
      <c r="C49" s="367"/>
      <c r="D49" s="368"/>
      <c r="H49" s="6"/>
      <c r="I49" s="6"/>
      <c r="J49" s="6"/>
      <c r="K49" s="6"/>
      <c r="L49" s="6"/>
      <c r="M49" s="6"/>
      <c r="N49" s="6"/>
      <c r="O49" s="6"/>
    </row>
    <row r="50">
      <c r="B50" s="368"/>
      <c r="C50" s="368"/>
      <c r="D50" s="368"/>
      <c r="H50" s="6"/>
      <c r="I50" s="6"/>
      <c r="J50" s="6"/>
      <c r="K50" s="6"/>
      <c r="L50" s="6"/>
      <c r="M50" s="6"/>
      <c r="N50" s="6"/>
      <c r="O50" s="6"/>
    </row>
    <row r="51">
      <c r="B51" s="368"/>
      <c r="C51" s="368"/>
      <c r="D51" s="368"/>
      <c r="H51" s="6"/>
      <c r="I51" s="6"/>
      <c r="J51" s="6"/>
      <c r="K51" s="6"/>
      <c r="L51" s="6"/>
      <c r="M51" s="6"/>
      <c r="N51" s="6"/>
      <c r="O51" s="6"/>
    </row>
    <row r="52">
      <c r="B52" s="368"/>
      <c r="C52" s="368"/>
      <c r="D52" s="368"/>
      <c r="H52" s="6"/>
      <c r="I52" s="6"/>
      <c r="J52" s="6"/>
      <c r="K52" s="6"/>
      <c r="L52" s="6"/>
      <c r="M52" s="6"/>
      <c r="N52" s="6"/>
      <c r="O52" s="6"/>
    </row>
    <row r="53">
      <c r="B53" s="368"/>
      <c r="C53" s="368"/>
      <c r="D53" s="368"/>
      <c r="H53" s="6"/>
      <c r="I53" s="6"/>
      <c r="J53" s="6"/>
      <c r="K53" s="6"/>
      <c r="L53" s="6"/>
      <c r="M53" s="6"/>
      <c r="N53" s="6"/>
      <c r="O53" s="6"/>
    </row>
    <row r="54">
      <c r="B54" s="368"/>
      <c r="C54" s="368"/>
      <c r="D54" s="368"/>
      <c r="H54" s="6"/>
      <c r="I54" s="6"/>
      <c r="J54" s="6"/>
      <c r="K54" s="6"/>
      <c r="L54" s="6"/>
      <c r="M54" s="6"/>
      <c r="N54" s="6"/>
      <c r="O54" s="6"/>
    </row>
    <row r="55">
      <c r="B55" s="368"/>
      <c r="C55" s="368"/>
      <c r="D55" s="368"/>
      <c r="H55" s="6"/>
      <c r="I55" s="6"/>
      <c r="J55" s="6"/>
      <c r="K55" s="6"/>
      <c r="L55" s="6"/>
      <c r="M55" s="6"/>
      <c r="N55" s="6"/>
      <c r="O55" s="6"/>
    </row>
    <row r="56">
      <c r="B56" s="368"/>
      <c r="C56" s="368"/>
      <c r="D56" s="368"/>
      <c r="H56" s="6"/>
      <c r="I56" s="6"/>
      <c r="J56" s="6"/>
      <c r="K56" s="6"/>
      <c r="L56" s="6"/>
      <c r="M56" s="6"/>
      <c r="N56" s="6"/>
      <c r="O56" s="6"/>
    </row>
    <row r="57">
      <c r="B57" s="368"/>
      <c r="C57" s="368"/>
      <c r="D57" s="368"/>
      <c r="H57" s="6"/>
      <c r="I57" s="6"/>
      <c r="J57" s="6"/>
      <c r="K57" s="6"/>
      <c r="L57" s="6"/>
      <c r="M57" s="6"/>
      <c r="N57" s="6"/>
      <c r="O57" s="6"/>
    </row>
    <row r="58">
      <c r="B58" s="368"/>
      <c r="C58" s="368"/>
      <c r="D58" s="368"/>
      <c r="H58" s="6"/>
      <c r="I58" s="6"/>
      <c r="J58" s="6"/>
      <c r="K58" s="6"/>
      <c r="L58" s="6"/>
      <c r="M58" s="6"/>
      <c r="N58" s="6"/>
      <c r="O58" s="6"/>
    </row>
    <row r="59">
      <c r="B59" s="368"/>
      <c r="C59" s="368"/>
      <c r="D59" s="368"/>
      <c r="H59" s="6"/>
      <c r="I59" s="6"/>
      <c r="J59" s="6"/>
      <c r="K59" s="6"/>
      <c r="L59" s="6"/>
      <c r="M59" s="6"/>
      <c r="N59" s="6"/>
      <c r="O59" s="6"/>
    </row>
    <row r="60">
      <c r="B60" s="368"/>
      <c r="C60" s="368"/>
      <c r="D60" s="368"/>
      <c r="H60" s="6"/>
      <c r="I60" s="6"/>
      <c r="J60" s="6"/>
      <c r="K60" s="6"/>
      <c r="L60" s="6"/>
      <c r="M60" s="6"/>
      <c r="N60" s="6"/>
      <c r="O60" s="6"/>
    </row>
    <row r="61">
      <c r="B61" s="368"/>
      <c r="C61" s="368"/>
      <c r="D61" s="368"/>
      <c r="H61" s="6"/>
      <c r="I61" s="6"/>
      <c r="J61" s="6"/>
      <c r="K61" s="6"/>
      <c r="L61" s="6"/>
      <c r="M61" s="6"/>
      <c r="N61" s="6"/>
      <c r="O61" s="6"/>
    </row>
    <row r="62">
      <c r="B62" s="368"/>
      <c r="C62" s="368"/>
      <c r="D62" s="368"/>
      <c r="H62" s="6"/>
      <c r="I62" s="6"/>
      <c r="J62" s="6"/>
      <c r="K62" s="6"/>
      <c r="L62" s="6"/>
      <c r="M62" s="6"/>
      <c r="N62" s="6"/>
      <c r="O62" s="6"/>
    </row>
    <row r="63">
      <c r="B63" s="368"/>
      <c r="C63" s="368"/>
      <c r="D63" s="368"/>
      <c r="H63" s="6"/>
      <c r="I63" s="6"/>
      <c r="J63" s="6"/>
      <c r="K63" s="6"/>
      <c r="L63" s="6"/>
      <c r="M63" s="6"/>
      <c r="N63" s="6"/>
      <c r="O63" s="6"/>
    </row>
    <row r="64">
      <c r="B64" s="368"/>
      <c r="C64" s="368"/>
      <c r="D64" s="368"/>
      <c r="H64" s="6"/>
      <c r="I64" s="6"/>
      <c r="J64" s="6"/>
      <c r="K64" s="6"/>
      <c r="L64" s="6"/>
      <c r="M64" s="6"/>
      <c r="N64" s="6"/>
      <c r="O64" s="6"/>
    </row>
    <row r="65">
      <c r="B65" s="368"/>
      <c r="C65" s="368"/>
      <c r="D65" s="368"/>
      <c r="H65" s="6"/>
      <c r="I65" s="6"/>
      <c r="J65" s="6"/>
      <c r="K65" s="6"/>
      <c r="L65" s="6"/>
      <c r="M65" s="6"/>
      <c r="N65" s="6"/>
      <c r="O65" s="6"/>
    </row>
    <row r="66">
      <c r="B66" s="368"/>
      <c r="C66" s="368"/>
      <c r="D66" s="368"/>
      <c r="H66" s="6"/>
      <c r="I66" s="6"/>
      <c r="J66" s="6"/>
      <c r="K66" s="6"/>
      <c r="L66" s="6"/>
      <c r="M66" s="6"/>
      <c r="N66" s="6"/>
      <c r="O66" s="6"/>
    </row>
    <row r="67">
      <c r="B67" s="368"/>
      <c r="C67" s="368"/>
      <c r="D67" s="368"/>
      <c r="H67" s="6"/>
      <c r="I67" s="6"/>
      <c r="J67" s="6"/>
      <c r="K67" s="6"/>
      <c r="L67" s="6"/>
      <c r="M67" s="6"/>
      <c r="N67" s="6"/>
      <c r="O67" s="6"/>
    </row>
    <row r="68">
      <c r="B68" s="368"/>
      <c r="C68" s="368"/>
      <c r="D68" s="368"/>
      <c r="H68" s="6"/>
      <c r="I68" s="6"/>
      <c r="J68" s="6"/>
      <c r="K68" s="6"/>
      <c r="L68" s="6"/>
      <c r="M68" s="6"/>
      <c r="N68" s="6"/>
      <c r="O68" s="6"/>
    </row>
    <row r="69">
      <c r="B69" s="368"/>
      <c r="C69" s="368"/>
      <c r="D69" s="368"/>
      <c r="H69" s="6"/>
      <c r="I69" s="6"/>
      <c r="J69" s="6"/>
      <c r="K69" s="6"/>
      <c r="L69" s="6"/>
      <c r="M69" s="6"/>
      <c r="N69" s="6"/>
      <c r="O69" s="6"/>
    </row>
    <row r="70">
      <c r="B70" s="368"/>
      <c r="C70" s="368"/>
      <c r="D70" s="368"/>
      <c r="H70" s="6"/>
      <c r="I70" s="6"/>
      <c r="J70" s="6"/>
      <c r="K70" s="6"/>
      <c r="L70" s="6"/>
      <c r="M70" s="6"/>
      <c r="N70" s="6"/>
      <c r="O70" s="6"/>
    </row>
    <row r="71">
      <c r="B71" s="368"/>
      <c r="C71" s="368"/>
      <c r="D71" s="368"/>
      <c r="H71" s="6"/>
      <c r="I71" s="6"/>
      <c r="J71" s="6"/>
      <c r="K71" s="6"/>
      <c r="L71" s="6"/>
      <c r="M71" s="6"/>
      <c r="N71" s="6"/>
      <c r="O71" s="6"/>
    </row>
    <row r="72">
      <c r="B72" s="368"/>
      <c r="C72" s="368"/>
      <c r="D72" s="368"/>
      <c r="H72" s="6"/>
      <c r="I72" s="6"/>
      <c r="J72" s="6"/>
      <c r="K72" s="6"/>
      <c r="L72" s="6"/>
      <c r="M72" s="6"/>
      <c r="N72" s="6"/>
      <c r="O72" s="6"/>
    </row>
    <row r="73">
      <c r="B73" s="368"/>
      <c r="C73" s="368"/>
      <c r="D73" s="368"/>
      <c r="H73" s="6"/>
      <c r="I73" s="6"/>
      <c r="J73" s="6"/>
      <c r="K73" s="6"/>
      <c r="L73" s="6"/>
      <c r="M73" s="6"/>
      <c r="N73" s="6"/>
      <c r="O73" s="6"/>
    </row>
    <row r="74">
      <c r="B74" s="368"/>
      <c r="C74" s="368"/>
      <c r="D74" s="368"/>
      <c r="H74" s="6"/>
      <c r="I74" s="6"/>
      <c r="J74" s="6"/>
      <c r="K74" s="6"/>
      <c r="L74" s="6"/>
      <c r="M74" s="6"/>
      <c r="N74" s="6"/>
      <c r="O74" s="6"/>
    </row>
    <row r="75">
      <c r="B75" s="368"/>
      <c r="C75" s="368"/>
      <c r="D75" s="368"/>
      <c r="H75" s="6"/>
      <c r="I75" s="6"/>
      <c r="J75" s="6"/>
      <c r="K75" s="6"/>
      <c r="L75" s="6"/>
      <c r="M75" s="6"/>
      <c r="N75" s="6"/>
      <c r="O75" s="6"/>
    </row>
    <row r="76">
      <c r="B76" s="368"/>
      <c r="C76" s="368"/>
      <c r="D76" s="368"/>
      <c r="H76" s="6"/>
      <c r="I76" s="6"/>
      <c r="J76" s="6"/>
      <c r="K76" s="6"/>
      <c r="L76" s="6"/>
      <c r="M76" s="6"/>
      <c r="N76" s="6"/>
      <c r="O76" s="6"/>
    </row>
    <row r="77">
      <c r="B77" s="368"/>
      <c r="C77" s="368"/>
      <c r="D77" s="368"/>
      <c r="H77" s="6"/>
      <c r="I77" s="6"/>
      <c r="J77" s="6"/>
      <c r="K77" s="6"/>
      <c r="L77" s="6"/>
      <c r="M77" s="6"/>
      <c r="N77" s="6"/>
      <c r="O77" s="6"/>
    </row>
    <row r="78">
      <c r="B78" s="368"/>
      <c r="C78" s="368"/>
      <c r="D78" s="368"/>
      <c r="H78" s="6"/>
      <c r="I78" s="6"/>
      <c r="J78" s="6"/>
      <c r="K78" s="6"/>
      <c r="L78" s="6"/>
      <c r="M78" s="6"/>
      <c r="N78" s="6"/>
      <c r="O78" s="6"/>
    </row>
    <row r="79">
      <c r="B79" s="368"/>
      <c r="C79" s="368"/>
      <c r="D79" s="368"/>
      <c r="H79" s="6"/>
      <c r="I79" s="6"/>
      <c r="J79" s="6"/>
      <c r="K79" s="6"/>
      <c r="L79" s="6"/>
      <c r="M79" s="6"/>
      <c r="N79" s="6"/>
      <c r="O79" s="6"/>
    </row>
    <row r="80">
      <c r="B80" s="368"/>
      <c r="C80" s="368"/>
      <c r="D80" s="368"/>
      <c r="H80" s="6"/>
      <c r="I80" s="6"/>
      <c r="J80" s="6"/>
      <c r="K80" s="6"/>
      <c r="L80" s="6"/>
      <c r="M80" s="6"/>
      <c r="N80" s="6"/>
      <c r="O80" s="6"/>
    </row>
    <row r="81">
      <c r="B81" s="368"/>
      <c r="C81" s="368"/>
      <c r="D81" s="368"/>
      <c r="H81" s="6"/>
      <c r="I81" s="6"/>
      <c r="J81" s="6"/>
      <c r="K81" s="6"/>
      <c r="L81" s="6"/>
      <c r="M81" s="6"/>
      <c r="N81" s="6"/>
      <c r="O81" s="6"/>
    </row>
    <row r="82">
      <c r="B82" s="368"/>
      <c r="C82" s="368"/>
      <c r="D82" s="368"/>
      <c r="H82" s="6"/>
      <c r="I82" s="6"/>
      <c r="J82" s="6"/>
      <c r="K82" s="6"/>
      <c r="L82" s="6"/>
      <c r="M82" s="6"/>
      <c r="N82" s="6"/>
      <c r="O82" s="6"/>
    </row>
    <row r="83">
      <c r="B83" s="368"/>
      <c r="C83" s="368"/>
      <c r="D83" s="368"/>
      <c r="H83" s="6"/>
      <c r="I83" s="6"/>
      <c r="J83" s="6"/>
      <c r="K83" s="6"/>
      <c r="L83" s="6"/>
      <c r="M83" s="6"/>
      <c r="N83" s="6"/>
      <c r="O83" s="6"/>
    </row>
    <row r="84">
      <c r="B84" s="368"/>
      <c r="C84" s="368"/>
      <c r="D84" s="368"/>
      <c r="H84" s="6"/>
      <c r="I84" s="6"/>
      <c r="J84" s="6"/>
      <c r="K84" s="6"/>
      <c r="L84" s="6"/>
      <c r="M84" s="6"/>
      <c r="N84" s="6"/>
      <c r="O84" s="6"/>
    </row>
    <row r="85">
      <c r="B85" s="368"/>
      <c r="C85" s="368"/>
      <c r="D85" s="368"/>
      <c r="H85" s="6"/>
      <c r="I85" s="6"/>
      <c r="J85" s="6"/>
      <c r="K85" s="6"/>
      <c r="L85" s="6"/>
      <c r="M85" s="6"/>
      <c r="N85" s="6"/>
      <c r="O85" s="6"/>
    </row>
    <row r="86">
      <c r="B86" s="368"/>
      <c r="C86" s="368"/>
      <c r="D86" s="368"/>
      <c r="H86" s="6"/>
      <c r="I86" s="6"/>
      <c r="J86" s="6"/>
      <c r="K86" s="6"/>
      <c r="L86" s="6"/>
      <c r="M86" s="6"/>
      <c r="N86" s="6"/>
      <c r="O86" s="6"/>
    </row>
    <row r="87">
      <c r="B87" s="368"/>
      <c r="C87" s="368"/>
      <c r="D87" s="368"/>
      <c r="H87" s="6"/>
      <c r="I87" s="6"/>
      <c r="J87" s="6"/>
      <c r="K87" s="6"/>
      <c r="L87" s="6"/>
      <c r="M87" s="6"/>
      <c r="N87" s="6"/>
      <c r="O87" s="6"/>
    </row>
    <row r="88">
      <c r="B88" s="368"/>
      <c r="C88" s="368"/>
      <c r="D88" s="368"/>
      <c r="H88" s="6"/>
      <c r="I88" s="6"/>
      <c r="J88" s="6"/>
      <c r="K88" s="6"/>
      <c r="L88" s="6"/>
      <c r="M88" s="6"/>
      <c r="N88" s="6"/>
      <c r="O88" s="6"/>
    </row>
    <row r="89">
      <c r="B89" s="368"/>
      <c r="C89" s="368"/>
      <c r="D89" s="368"/>
      <c r="H89" s="6"/>
      <c r="I89" s="6"/>
      <c r="J89" s="6"/>
      <c r="K89" s="6"/>
      <c r="L89" s="6"/>
      <c r="M89" s="6"/>
      <c r="N89" s="6"/>
      <c r="O89" s="6"/>
    </row>
    <row r="90">
      <c r="B90" s="368"/>
      <c r="C90" s="368"/>
      <c r="D90" s="368"/>
      <c r="H90" s="6"/>
      <c r="I90" s="6"/>
      <c r="J90" s="6"/>
      <c r="K90" s="6"/>
      <c r="L90" s="6"/>
      <c r="M90" s="6"/>
      <c r="N90" s="6"/>
      <c r="O90" s="6"/>
    </row>
    <row r="91">
      <c r="B91" s="368"/>
      <c r="C91" s="368"/>
      <c r="D91" s="368"/>
      <c r="H91" s="6"/>
      <c r="I91" s="6"/>
      <c r="J91" s="6"/>
      <c r="K91" s="6"/>
      <c r="L91" s="6"/>
      <c r="M91" s="6"/>
      <c r="N91" s="6"/>
      <c r="O91" s="6"/>
    </row>
    <row r="92">
      <c r="B92" s="368"/>
      <c r="C92" s="368"/>
      <c r="D92" s="368"/>
      <c r="H92" s="6"/>
      <c r="I92" s="6"/>
      <c r="J92" s="6"/>
      <c r="K92" s="6"/>
      <c r="L92" s="6"/>
      <c r="M92" s="6"/>
      <c r="N92" s="6"/>
      <c r="O92" s="6"/>
    </row>
    <row r="93">
      <c r="B93" s="368"/>
      <c r="C93" s="368"/>
      <c r="D93" s="368"/>
      <c r="H93" s="6"/>
      <c r="I93" s="6"/>
      <c r="J93" s="6"/>
      <c r="K93" s="6"/>
      <c r="L93" s="6"/>
      <c r="M93" s="6"/>
      <c r="N93" s="6"/>
      <c r="O93" s="6"/>
    </row>
    <row r="94">
      <c r="B94" s="368"/>
      <c r="C94" s="368"/>
      <c r="D94" s="368"/>
      <c r="H94" s="6"/>
      <c r="I94" s="6"/>
      <c r="J94" s="6"/>
      <c r="K94" s="6"/>
      <c r="L94" s="6"/>
      <c r="M94" s="6"/>
      <c r="N94" s="6"/>
      <c r="O94" s="6"/>
    </row>
    <row r="95">
      <c r="B95" s="368"/>
      <c r="C95" s="368"/>
      <c r="D95" s="368"/>
      <c r="H95" s="6"/>
      <c r="I95" s="6"/>
      <c r="J95" s="6"/>
      <c r="K95" s="6"/>
      <c r="L95" s="6"/>
      <c r="M95" s="6"/>
      <c r="N95" s="6"/>
      <c r="O95" s="6"/>
    </row>
    <row r="96">
      <c r="B96" s="368"/>
      <c r="C96" s="368"/>
      <c r="D96" s="368"/>
      <c r="H96" s="6"/>
      <c r="I96" s="6"/>
      <c r="J96" s="6"/>
      <c r="K96" s="6"/>
      <c r="L96" s="6"/>
      <c r="M96" s="6"/>
      <c r="N96" s="6"/>
      <c r="O96" s="6"/>
    </row>
    <row r="97">
      <c r="B97" s="368"/>
      <c r="C97" s="368"/>
      <c r="D97" s="368"/>
      <c r="H97" s="6"/>
      <c r="I97" s="6"/>
      <c r="J97" s="6"/>
      <c r="K97" s="6"/>
      <c r="L97" s="6"/>
      <c r="M97" s="6"/>
      <c r="N97" s="6"/>
      <c r="O97" s="6"/>
    </row>
    <row r="98">
      <c r="B98" s="368"/>
      <c r="C98" s="368"/>
      <c r="D98" s="368"/>
      <c r="H98" s="6"/>
      <c r="I98" s="6"/>
      <c r="J98" s="6"/>
      <c r="K98" s="6"/>
      <c r="L98" s="6"/>
      <c r="M98" s="6"/>
      <c r="N98" s="6"/>
      <c r="O98" s="6"/>
    </row>
    <row r="99">
      <c r="B99" s="368"/>
      <c r="C99" s="368"/>
      <c r="D99" s="368"/>
      <c r="H99" s="6"/>
      <c r="I99" s="6"/>
      <c r="J99" s="6"/>
      <c r="K99" s="6"/>
      <c r="L99" s="6"/>
      <c r="M99" s="6"/>
      <c r="N99" s="6"/>
      <c r="O99" s="6"/>
    </row>
    <row r="100">
      <c r="B100" s="368"/>
      <c r="C100" s="368"/>
      <c r="D100" s="368"/>
      <c r="H100" s="6"/>
      <c r="I100" s="6"/>
      <c r="J100" s="6"/>
      <c r="K100" s="6"/>
      <c r="L100" s="6"/>
      <c r="M100" s="6"/>
      <c r="N100" s="6"/>
      <c r="O100" s="6"/>
    </row>
    <row r="101">
      <c r="B101" s="368"/>
      <c r="C101" s="368"/>
      <c r="D101" s="368"/>
      <c r="H101" s="6"/>
      <c r="I101" s="6"/>
      <c r="J101" s="6"/>
      <c r="K101" s="6"/>
      <c r="L101" s="6"/>
      <c r="M101" s="6"/>
      <c r="N101" s="6"/>
      <c r="O101" s="6"/>
    </row>
    <row r="102">
      <c r="B102" s="368"/>
      <c r="C102" s="368"/>
      <c r="D102" s="368"/>
      <c r="H102" s="6"/>
      <c r="I102" s="6"/>
      <c r="J102" s="6"/>
      <c r="K102" s="6"/>
      <c r="L102" s="6"/>
      <c r="M102" s="6"/>
      <c r="N102" s="6"/>
      <c r="O102" s="6"/>
    </row>
    <row r="103">
      <c r="B103" s="368"/>
      <c r="C103" s="368"/>
      <c r="D103" s="368"/>
      <c r="H103" s="6"/>
      <c r="I103" s="6"/>
      <c r="J103" s="6"/>
      <c r="K103" s="6"/>
      <c r="L103" s="6"/>
      <c r="M103" s="6"/>
      <c r="N103" s="6"/>
      <c r="O103" s="6"/>
    </row>
    <row r="104">
      <c r="B104" s="368"/>
      <c r="C104" s="368"/>
      <c r="D104" s="368"/>
      <c r="H104" s="6"/>
      <c r="I104" s="6"/>
      <c r="J104" s="6"/>
      <c r="K104" s="6"/>
      <c r="L104" s="6"/>
      <c r="M104" s="6"/>
      <c r="N104" s="6"/>
      <c r="O104" s="6"/>
    </row>
    <row r="105">
      <c r="B105" s="368"/>
      <c r="C105" s="368"/>
      <c r="D105" s="368"/>
      <c r="H105" s="6"/>
      <c r="I105" s="6"/>
      <c r="J105" s="6"/>
      <c r="K105" s="6"/>
      <c r="L105" s="6"/>
      <c r="M105" s="6"/>
      <c r="N105" s="6"/>
      <c r="O105" s="6"/>
    </row>
    <row r="106">
      <c r="B106" s="368"/>
      <c r="C106" s="368"/>
      <c r="D106" s="368"/>
      <c r="H106" s="6"/>
      <c r="I106" s="6"/>
      <c r="J106" s="6"/>
      <c r="K106" s="6"/>
      <c r="L106" s="6"/>
      <c r="M106" s="6"/>
      <c r="N106" s="6"/>
      <c r="O106" s="6"/>
    </row>
    <row r="107">
      <c r="B107" s="368"/>
      <c r="C107" s="368"/>
      <c r="D107" s="368"/>
      <c r="H107" s="6"/>
      <c r="I107" s="6"/>
      <c r="J107" s="6"/>
      <c r="K107" s="6"/>
      <c r="L107" s="6"/>
      <c r="M107" s="6"/>
      <c r="N107" s="6"/>
      <c r="O107" s="6"/>
    </row>
    <row r="108">
      <c r="B108" s="368"/>
      <c r="C108" s="368"/>
      <c r="D108" s="368"/>
      <c r="H108" s="6"/>
      <c r="I108" s="6"/>
      <c r="J108" s="6"/>
      <c r="K108" s="6"/>
      <c r="L108" s="6"/>
      <c r="M108" s="6"/>
      <c r="N108" s="6"/>
      <c r="O108" s="6"/>
    </row>
    <row r="109">
      <c r="B109" s="368"/>
      <c r="C109" s="368"/>
      <c r="D109" s="368"/>
      <c r="H109" s="6"/>
      <c r="I109" s="6"/>
      <c r="J109" s="6"/>
      <c r="K109" s="6"/>
      <c r="L109" s="6"/>
      <c r="M109" s="6"/>
      <c r="N109" s="6"/>
      <c r="O109" s="6"/>
    </row>
    <row r="110">
      <c r="B110" s="368"/>
      <c r="C110" s="368"/>
      <c r="D110" s="368"/>
      <c r="H110" s="6"/>
      <c r="I110" s="6"/>
      <c r="J110" s="6"/>
      <c r="K110" s="6"/>
      <c r="L110" s="6"/>
      <c r="M110" s="6"/>
      <c r="N110" s="6"/>
      <c r="O110" s="6"/>
    </row>
    <row r="111">
      <c r="B111" s="368"/>
      <c r="C111" s="368"/>
      <c r="D111" s="368"/>
      <c r="H111" s="6"/>
      <c r="I111" s="6"/>
      <c r="J111" s="6"/>
      <c r="K111" s="6"/>
      <c r="L111" s="6"/>
      <c r="M111" s="6"/>
      <c r="N111" s="6"/>
      <c r="O111" s="6"/>
    </row>
    <row r="112">
      <c r="B112" s="368"/>
      <c r="C112" s="368"/>
      <c r="D112" s="368"/>
      <c r="H112" s="6"/>
      <c r="I112" s="6"/>
      <c r="J112" s="6"/>
      <c r="K112" s="6"/>
      <c r="L112" s="6"/>
      <c r="M112" s="6"/>
      <c r="N112" s="6"/>
      <c r="O112" s="6"/>
    </row>
    <row r="113">
      <c r="B113" s="368"/>
      <c r="C113" s="368"/>
      <c r="D113" s="368"/>
      <c r="H113" s="6"/>
      <c r="I113" s="6"/>
      <c r="J113" s="6"/>
      <c r="K113" s="6"/>
      <c r="L113" s="6"/>
      <c r="M113" s="6"/>
      <c r="N113" s="6"/>
      <c r="O113" s="6"/>
    </row>
    <row r="114">
      <c r="B114" s="368"/>
      <c r="C114" s="368"/>
      <c r="D114" s="368"/>
      <c r="H114" s="6"/>
      <c r="I114" s="6"/>
      <c r="J114" s="6"/>
      <c r="K114" s="6"/>
      <c r="L114" s="6"/>
      <c r="M114" s="6"/>
      <c r="N114" s="6"/>
      <c r="O114" s="6"/>
    </row>
    <row r="115">
      <c r="B115" s="368"/>
      <c r="C115" s="368"/>
      <c r="D115" s="368"/>
      <c r="H115" s="6"/>
      <c r="I115" s="6"/>
      <c r="J115" s="6"/>
      <c r="K115" s="6"/>
      <c r="L115" s="6"/>
      <c r="M115" s="6"/>
      <c r="N115" s="6"/>
      <c r="O115" s="6"/>
    </row>
    <row r="116">
      <c r="B116" s="368"/>
      <c r="C116" s="368"/>
      <c r="D116" s="368"/>
      <c r="H116" s="6"/>
      <c r="I116" s="6"/>
      <c r="J116" s="6"/>
      <c r="K116" s="6"/>
      <c r="L116" s="6"/>
      <c r="M116" s="6"/>
      <c r="N116" s="6"/>
      <c r="O116" s="6"/>
    </row>
    <row r="117">
      <c r="B117" s="368"/>
      <c r="C117" s="368"/>
      <c r="D117" s="368"/>
      <c r="H117" s="6"/>
      <c r="I117" s="6"/>
      <c r="J117" s="6"/>
      <c r="K117" s="6"/>
      <c r="L117" s="6"/>
      <c r="M117" s="6"/>
      <c r="N117" s="6"/>
      <c r="O117" s="6"/>
    </row>
    <row r="118">
      <c r="B118" s="368"/>
      <c r="C118" s="368"/>
      <c r="D118" s="368"/>
      <c r="H118" s="6"/>
      <c r="I118" s="6"/>
      <c r="J118" s="6"/>
      <c r="K118" s="6"/>
      <c r="L118" s="6"/>
      <c r="M118" s="6"/>
      <c r="N118" s="6"/>
      <c r="O118" s="6"/>
    </row>
    <row r="119">
      <c r="B119" s="368"/>
      <c r="C119" s="368"/>
      <c r="D119" s="368"/>
      <c r="H119" s="6"/>
      <c r="I119" s="6"/>
      <c r="J119" s="6"/>
      <c r="K119" s="6"/>
      <c r="L119" s="6"/>
      <c r="M119" s="6"/>
      <c r="N119" s="6"/>
      <c r="O119" s="6"/>
    </row>
    <row r="120">
      <c r="B120" s="368"/>
      <c r="C120" s="368"/>
      <c r="D120" s="368"/>
      <c r="H120" s="6"/>
      <c r="I120" s="6"/>
      <c r="J120" s="6"/>
      <c r="K120" s="6"/>
      <c r="L120" s="6"/>
      <c r="M120" s="6"/>
      <c r="N120" s="6"/>
      <c r="O120" s="6"/>
    </row>
    <row r="121">
      <c r="B121" s="368"/>
      <c r="C121" s="368"/>
      <c r="D121" s="368"/>
      <c r="H121" s="6"/>
      <c r="I121" s="6"/>
      <c r="J121" s="6"/>
      <c r="K121" s="6"/>
      <c r="L121" s="6"/>
      <c r="M121" s="6"/>
      <c r="N121" s="6"/>
      <c r="O121" s="6"/>
    </row>
    <row r="122">
      <c r="B122" s="368"/>
      <c r="C122" s="368"/>
      <c r="D122" s="368"/>
      <c r="H122" s="6"/>
      <c r="I122" s="6"/>
      <c r="J122" s="6"/>
      <c r="K122" s="6"/>
      <c r="L122" s="6"/>
      <c r="M122" s="6"/>
      <c r="N122" s="6"/>
      <c r="O122" s="6"/>
    </row>
    <row r="123">
      <c r="B123" s="368"/>
      <c r="C123" s="368"/>
      <c r="D123" s="368"/>
      <c r="H123" s="6"/>
      <c r="I123" s="6"/>
      <c r="J123" s="6"/>
      <c r="K123" s="6"/>
      <c r="L123" s="6"/>
      <c r="M123" s="6"/>
      <c r="N123" s="6"/>
      <c r="O123" s="6"/>
    </row>
    <row r="124">
      <c r="B124" s="368"/>
      <c r="C124" s="368"/>
      <c r="D124" s="368"/>
      <c r="H124" s="6"/>
      <c r="I124" s="6"/>
      <c r="J124" s="6"/>
      <c r="K124" s="6"/>
      <c r="L124" s="6"/>
      <c r="M124" s="6"/>
      <c r="N124" s="6"/>
      <c r="O124" s="6"/>
    </row>
    <row r="125">
      <c r="B125" s="368"/>
      <c r="C125" s="368"/>
      <c r="D125" s="368"/>
      <c r="H125" s="6"/>
      <c r="I125" s="6"/>
      <c r="J125" s="6"/>
      <c r="K125" s="6"/>
      <c r="L125" s="6"/>
      <c r="M125" s="6"/>
      <c r="N125" s="6"/>
      <c r="O125" s="6"/>
    </row>
    <row r="126">
      <c r="B126" s="368"/>
      <c r="C126" s="368"/>
      <c r="D126" s="368"/>
      <c r="H126" s="6"/>
      <c r="I126" s="6"/>
      <c r="J126" s="6"/>
      <c r="K126" s="6"/>
      <c r="L126" s="6"/>
      <c r="M126" s="6"/>
      <c r="N126" s="6"/>
      <c r="O126" s="6"/>
    </row>
    <row r="127">
      <c r="B127" s="368"/>
      <c r="C127" s="368"/>
      <c r="D127" s="368"/>
      <c r="H127" s="6"/>
      <c r="I127" s="6"/>
      <c r="J127" s="6"/>
      <c r="K127" s="6"/>
      <c r="L127" s="6"/>
      <c r="M127" s="6"/>
      <c r="N127" s="6"/>
      <c r="O127" s="6"/>
    </row>
    <row r="128">
      <c r="B128" s="368"/>
      <c r="C128" s="368"/>
      <c r="D128" s="368"/>
      <c r="H128" s="6"/>
      <c r="I128" s="6"/>
      <c r="J128" s="6"/>
      <c r="K128" s="6"/>
      <c r="L128" s="6"/>
      <c r="M128" s="6"/>
      <c r="N128" s="6"/>
      <c r="O128" s="6"/>
    </row>
    <row r="129">
      <c r="B129" s="368"/>
      <c r="C129" s="368"/>
      <c r="D129" s="368"/>
      <c r="H129" s="6"/>
      <c r="I129" s="6"/>
      <c r="J129" s="6"/>
      <c r="K129" s="6"/>
      <c r="L129" s="6"/>
      <c r="M129" s="6"/>
      <c r="N129" s="6"/>
      <c r="O129" s="6"/>
    </row>
    <row r="130">
      <c r="B130" s="368"/>
      <c r="C130" s="368"/>
      <c r="D130" s="368"/>
      <c r="H130" s="6"/>
      <c r="I130" s="6"/>
      <c r="J130" s="6"/>
      <c r="K130" s="6"/>
      <c r="L130" s="6"/>
      <c r="M130" s="6"/>
      <c r="N130" s="6"/>
      <c r="O130" s="6"/>
    </row>
    <row r="131">
      <c r="B131" s="368"/>
      <c r="C131" s="368"/>
      <c r="D131" s="368"/>
      <c r="H131" s="6"/>
      <c r="I131" s="6"/>
      <c r="J131" s="6"/>
      <c r="K131" s="6"/>
      <c r="L131" s="6"/>
      <c r="M131" s="6"/>
      <c r="N131" s="6"/>
      <c r="O131" s="6"/>
    </row>
    <row r="132">
      <c r="B132" s="368"/>
      <c r="C132" s="368"/>
      <c r="D132" s="368"/>
      <c r="H132" s="6"/>
      <c r="I132" s="6"/>
      <c r="J132" s="6"/>
      <c r="K132" s="6"/>
      <c r="L132" s="6"/>
      <c r="M132" s="6"/>
      <c r="N132" s="6"/>
      <c r="O132" s="6"/>
    </row>
    <row r="133">
      <c r="B133" s="368"/>
      <c r="C133" s="368"/>
      <c r="D133" s="368"/>
      <c r="H133" s="6"/>
      <c r="I133" s="6"/>
      <c r="J133" s="6"/>
      <c r="K133" s="6"/>
      <c r="L133" s="6"/>
      <c r="M133" s="6"/>
      <c r="N133" s="6"/>
      <c r="O133" s="6"/>
    </row>
    <row r="134">
      <c r="B134" s="368"/>
      <c r="C134" s="368"/>
      <c r="D134" s="368"/>
      <c r="H134" s="6"/>
      <c r="I134" s="6"/>
      <c r="J134" s="6"/>
      <c r="K134" s="6"/>
      <c r="L134" s="6"/>
      <c r="M134" s="6"/>
      <c r="N134" s="6"/>
      <c r="O134" s="6"/>
    </row>
    <row r="135">
      <c r="B135" s="368"/>
      <c r="C135" s="368"/>
      <c r="D135" s="368"/>
      <c r="H135" s="6"/>
      <c r="I135" s="6"/>
      <c r="J135" s="6"/>
      <c r="K135" s="6"/>
      <c r="L135" s="6"/>
      <c r="M135" s="6"/>
      <c r="N135" s="6"/>
      <c r="O135" s="6"/>
    </row>
    <row r="136">
      <c r="B136" s="368"/>
      <c r="C136" s="368"/>
      <c r="D136" s="368"/>
      <c r="H136" s="6"/>
      <c r="I136" s="6"/>
      <c r="J136" s="6"/>
      <c r="K136" s="6"/>
      <c r="L136" s="6"/>
      <c r="M136" s="6"/>
      <c r="N136" s="6"/>
      <c r="O136" s="6"/>
    </row>
    <row r="137">
      <c r="B137" s="368"/>
      <c r="C137" s="368"/>
      <c r="D137" s="368"/>
      <c r="H137" s="6"/>
      <c r="I137" s="6"/>
      <c r="J137" s="6"/>
      <c r="K137" s="6"/>
      <c r="L137" s="6"/>
      <c r="M137" s="6"/>
      <c r="N137" s="6"/>
      <c r="O137" s="6"/>
    </row>
    <row r="138">
      <c r="B138" s="368"/>
      <c r="C138" s="368"/>
      <c r="D138" s="368"/>
      <c r="H138" s="6"/>
      <c r="I138" s="6"/>
      <c r="J138" s="6"/>
      <c r="K138" s="6"/>
      <c r="L138" s="6"/>
      <c r="M138" s="6"/>
      <c r="N138" s="6"/>
      <c r="O138" s="6"/>
    </row>
    <row r="139">
      <c r="B139" s="368"/>
      <c r="C139" s="368"/>
      <c r="D139" s="368"/>
      <c r="H139" s="6"/>
      <c r="I139" s="6"/>
      <c r="J139" s="6"/>
      <c r="K139" s="6"/>
      <c r="L139" s="6"/>
      <c r="M139" s="6"/>
      <c r="N139" s="6"/>
      <c r="O139" s="6"/>
    </row>
    <row r="140">
      <c r="B140" s="368"/>
      <c r="C140" s="368"/>
      <c r="D140" s="368"/>
      <c r="H140" s="6"/>
      <c r="I140" s="6"/>
      <c r="J140" s="6"/>
      <c r="K140" s="6"/>
      <c r="L140" s="6"/>
      <c r="M140" s="6"/>
      <c r="N140" s="6"/>
      <c r="O140" s="6"/>
    </row>
    <row r="141">
      <c r="B141" s="368"/>
      <c r="C141" s="368"/>
      <c r="D141" s="368"/>
      <c r="H141" s="6"/>
      <c r="I141" s="6"/>
      <c r="J141" s="6"/>
      <c r="K141" s="6"/>
      <c r="L141" s="6"/>
      <c r="M141" s="6"/>
      <c r="N141" s="6"/>
      <c r="O141" s="6"/>
    </row>
    <row r="142">
      <c r="B142" s="368"/>
      <c r="C142" s="368"/>
      <c r="D142" s="368"/>
      <c r="H142" s="6"/>
      <c r="I142" s="6"/>
      <c r="J142" s="6"/>
      <c r="K142" s="6"/>
      <c r="L142" s="6"/>
      <c r="M142" s="6"/>
      <c r="N142" s="6"/>
      <c r="O142" s="6"/>
    </row>
    <row r="143">
      <c r="B143" s="368"/>
      <c r="C143" s="368"/>
      <c r="D143" s="368"/>
      <c r="H143" s="6"/>
      <c r="I143" s="6"/>
      <c r="J143" s="6"/>
      <c r="K143" s="6"/>
      <c r="L143" s="6"/>
      <c r="M143" s="6"/>
      <c r="N143" s="6"/>
      <c r="O143" s="6"/>
    </row>
    <row r="144">
      <c r="B144" s="368"/>
      <c r="C144" s="368"/>
      <c r="D144" s="368"/>
      <c r="H144" s="6"/>
      <c r="I144" s="6"/>
      <c r="J144" s="6"/>
      <c r="K144" s="6"/>
      <c r="L144" s="6"/>
      <c r="M144" s="6"/>
      <c r="N144" s="6"/>
      <c r="O144" s="6"/>
    </row>
    <row r="145">
      <c r="B145" s="368"/>
      <c r="C145" s="368"/>
      <c r="D145" s="368"/>
      <c r="H145" s="6"/>
      <c r="I145" s="6"/>
      <c r="J145" s="6"/>
      <c r="K145" s="6"/>
      <c r="L145" s="6"/>
      <c r="M145" s="6"/>
      <c r="N145" s="6"/>
      <c r="O145" s="6"/>
    </row>
    <row r="146">
      <c r="B146" s="368"/>
      <c r="C146" s="368"/>
      <c r="D146" s="368"/>
      <c r="H146" s="6"/>
      <c r="I146" s="6"/>
      <c r="J146" s="6"/>
      <c r="K146" s="6"/>
      <c r="L146" s="6"/>
      <c r="M146" s="6"/>
      <c r="N146" s="6"/>
      <c r="O146" s="6"/>
    </row>
    <row r="147">
      <c r="B147" s="368"/>
      <c r="C147" s="368"/>
      <c r="D147" s="368"/>
      <c r="H147" s="6"/>
      <c r="I147" s="6"/>
      <c r="J147" s="6"/>
      <c r="K147" s="6"/>
      <c r="L147" s="6"/>
      <c r="M147" s="6"/>
      <c r="N147" s="6"/>
      <c r="O147" s="6"/>
    </row>
    <row r="148">
      <c r="B148" s="368"/>
      <c r="C148" s="368"/>
      <c r="D148" s="368"/>
      <c r="H148" s="6"/>
      <c r="I148" s="6"/>
      <c r="J148" s="6"/>
      <c r="K148" s="6"/>
      <c r="L148" s="6"/>
      <c r="M148" s="6"/>
      <c r="N148" s="6"/>
      <c r="O148" s="6"/>
    </row>
    <row r="149">
      <c r="B149" s="368"/>
      <c r="C149" s="368"/>
      <c r="D149" s="368"/>
      <c r="H149" s="6"/>
      <c r="I149" s="6"/>
      <c r="J149" s="6"/>
      <c r="K149" s="6"/>
      <c r="L149" s="6"/>
      <c r="M149" s="6"/>
      <c r="N149" s="6"/>
      <c r="O149" s="6"/>
    </row>
    <row r="150">
      <c r="B150" s="368"/>
      <c r="C150" s="368"/>
      <c r="D150" s="368"/>
      <c r="H150" s="6"/>
      <c r="I150" s="6"/>
      <c r="J150" s="6"/>
      <c r="K150" s="6"/>
      <c r="L150" s="6"/>
      <c r="M150" s="6"/>
      <c r="N150" s="6"/>
      <c r="O150" s="6"/>
    </row>
    <row r="151">
      <c r="B151" s="368"/>
      <c r="C151" s="368"/>
      <c r="D151" s="368"/>
      <c r="H151" s="6"/>
      <c r="I151" s="6"/>
      <c r="J151" s="6"/>
      <c r="K151" s="6"/>
      <c r="L151" s="6"/>
      <c r="M151" s="6"/>
      <c r="N151" s="6"/>
      <c r="O151" s="6"/>
    </row>
    <row r="152">
      <c r="B152" s="368"/>
      <c r="C152" s="368"/>
      <c r="D152" s="368"/>
      <c r="H152" s="6"/>
      <c r="I152" s="6"/>
      <c r="J152" s="6"/>
      <c r="K152" s="6"/>
      <c r="L152" s="6"/>
      <c r="M152" s="6"/>
      <c r="N152" s="6"/>
      <c r="O152" s="6"/>
    </row>
    <row r="153">
      <c r="B153" s="368"/>
      <c r="C153" s="368"/>
      <c r="D153" s="368"/>
      <c r="H153" s="6"/>
      <c r="I153" s="6"/>
      <c r="J153" s="6"/>
      <c r="K153" s="6"/>
      <c r="L153" s="6"/>
      <c r="M153" s="6"/>
      <c r="N153" s="6"/>
      <c r="O153" s="6"/>
    </row>
    <row r="154">
      <c r="B154" s="368"/>
      <c r="C154" s="368"/>
      <c r="D154" s="368"/>
      <c r="H154" s="6"/>
      <c r="I154" s="6"/>
      <c r="J154" s="6"/>
      <c r="K154" s="6"/>
      <c r="L154" s="6"/>
      <c r="M154" s="6"/>
      <c r="N154" s="6"/>
      <c r="O154" s="6"/>
    </row>
    <row r="155">
      <c r="B155" s="368"/>
      <c r="C155" s="368"/>
      <c r="D155" s="368"/>
      <c r="H155" s="6"/>
      <c r="I155" s="6"/>
      <c r="J155" s="6"/>
      <c r="K155" s="6"/>
      <c r="L155" s="6"/>
      <c r="M155" s="6"/>
      <c r="N155" s="6"/>
      <c r="O155" s="6"/>
    </row>
    <row r="156">
      <c r="B156" s="368"/>
      <c r="C156" s="368"/>
      <c r="D156" s="368"/>
      <c r="H156" s="6"/>
      <c r="I156" s="6"/>
      <c r="J156" s="6"/>
      <c r="K156" s="6"/>
      <c r="L156" s="6"/>
      <c r="M156" s="6"/>
      <c r="N156" s="6"/>
      <c r="O156" s="6"/>
    </row>
    <row r="157">
      <c r="B157" s="368"/>
      <c r="C157" s="368"/>
      <c r="D157" s="368"/>
      <c r="H157" s="6"/>
      <c r="I157" s="6"/>
      <c r="J157" s="6"/>
      <c r="K157" s="6"/>
      <c r="L157" s="6"/>
      <c r="M157" s="6"/>
      <c r="N157" s="6"/>
      <c r="O157" s="6"/>
    </row>
    <row r="158">
      <c r="B158" s="368"/>
      <c r="C158" s="368"/>
      <c r="D158" s="368"/>
      <c r="H158" s="6"/>
      <c r="I158" s="6"/>
      <c r="J158" s="6"/>
      <c r="K158" s="6"/>
      <c r="L158" s="6"/>
      <c r="M158" s="6"/>
      <c r="N158" s="6"/>
      <c r="O158" s="6"/>
    </row>
    <row r="159">
      <c r="B159" s="368"/>
      <c r="C159" s="368"/>
      <c r="D159" s="368"/>
      <c r="H159" s="6"/>
      <c r="I159" s="6"/>
      <c r="J159" s="6"/>
      <c r="K159" s="6"/>
      <c r="L159" s="6"/>
      <c r="M159" s="6"/>
      <c r="N159" s="6"/>
      <c r="O159" s="6"/>
    </row>
    <row r="160">
      <c r="B160" s="368"/>
      <c r="C160" s="368"/>
      <c r="D160" s="368"/>
      <c r="H160" s="6"/>
      <c r="I160" s="6"/>
      <c r="J160" s="6"/>
      <c r="K160" s="6"/>
      <c r="L160" s="6"/>
      <c r="M160" s="6"/>
      <c r="N160" s="6"/>
      <c r="O160" s="6"/>
    </row>
    <row r="161">
      <c r="B161" s="368"/>
      <c r="C161" s="368"/>
      <c r="D161" s="368"/>
      <c r="H161" s="6"/>
      <c r="I161" s="6"/>
      <c r="J161" s="6"/>
      <c r="K161" s="6"/>
      <c r="L161" s="6"/>
      <c r="M161" s="6"/>
      <c r="N161" s="6"/>
      <c r="O161" s="6"/>
    </row>
    <row r="162">
      <c r="B162" s="368"/>
      <c r="C162" s="368"/>
      <c r="D162" s="368"/>
      <c r="H162" s="6"/>
      <c r="I162" s="6"/>
      <c r="J162" s="6"/>
      <c r="K162" s="6"/>
      <c r="L162" s="6"/>
      <c r="M162" s="6"/>
      <c r="N162" s="6"/>
      <c r="O162" s="6"/>
    </row>
    <row r="163">
      <c r="B163" s="368"/>
      <c r="C163" s="368"/>
      <c r="D163" s="368"/>
      <c r="H163" s="6"/>
      <c r="I163" s="6"/>
      <c r="J163" s="6"/>
      <c r="K163" s="6"/>
      <c r="L163" s="6"/>
      <c r="M163" s="6"/>
      <c r="N163" s="6"/>
      <c r="O163" s="6"/>
    </row>
    <row r="164">
      <c r="B164" s="368"/>
      <c r="C164" s="368"/>
      <c r="D164" s="368"/>
      <c r="H164" s="6"/>
      <c r="I164" s="6"/>
      <c r="J164" s="6"/>
      <c r="K164" s="6"/>
      <c r="L164" s="6"/>
      <c r="M164" s="6"/>
      <c r="N164" s="6"/>
      <c r="O164" s="6"/>
    </row>
    <row r="165">
      <c r="B165" s="368"/>
      <c r="C165" s="368"/>
      <c r="D165" s="368"/>
      <c r="H165" s="6"/>
      <c r="I165" s="6"/>
      <c r="J165" s="6"/>
      <c r="K165" s="6"/>
      <c r="L165" s="6"/>
      <c r="M165" s="6"/>
      <c r="N165" s="6"/>
      <c r="O165" s="6"/>
    </row>
    <row r="166">
      <c r="B166" s="368"/>
      <c r="C166" s="368"/>
      <c r="D166" s="368"/>
      <c r="H166" s="6"/>
      <c r="I166" s="6"/>
      <c r="J166" s="6"/>
      <c r="K166" s="6"/>
      <c r="L166" s="6"/>
      <c r="M166" s="6"/>
      <c r="N166" s="6"/>
      <c r="O166" s="6"/>
    </row>
    <row r="167">
      <c r="B167" s="368"/>
      <c r="C167" s="368"/>
      <c r="D167" s="368"/>
      <c r="H167" s="6"/>
      <c r="I167" s="6"/>
      <c r="J167" s="6"/>
      <c r="K167" s="6"/>
      <c r="L167" s="6"/>
      <c r="M167" s="6"/>
      <c r="N167" s="6"/>
      <c r="O167" s="6"/>
    </row>
    <row r="168">
      <c r="B168" s="368"/>
      <c r="C168" s="368"/>
      <c r="D168" s="368"/>
      <c r="H168" s="6"/>
      <c r="I168" s="6"/>
      <c r="J168" s="6"/>
      <c r="K168" s="6"/>
      <c r="L168" s="6"/>
      <c r="M168" s="6"/>
      <c r="N168" s="6"/>
      <c r="O168" s="6"/>
    </row>
    <row r="169">
      <c r="B169" s="368"/>
      <c r="C169" s="368"/>
      <c r="D169" s="368"/>
      <c r="H169" s="6"/>
      <c r="I169" s="6"/>
      <c r="J169" s="6"/>
      <c r="K169" s="6"/>
      <c r="L169" s="6"/>
      <c r="M169" s="6"/>
      <c r="N169" s="6"/>
      <c r="O169" s="6"/>
    </row>
    <row r="170">
      <c r="B170" s="368"/>
      <c r="C170" s="368"/>
      <c r="D170" s="368"/>
      <c r="H170" s="6"/>
      <c r="I170" s="6"/>
      <c r="J170" s="6"/>
      <c r="K170" s="6"/>
      <c r="L170" s="6"/>
      <c r="M170" s="6"/>
      <c r="N170" s="6"/>
      <c r="O170" s="6"/>
    </row>
    <row r="171">
      <c r="B171" s="368"/>
      <c r="C171" s="368"/>
      <c r="D171" s="368"/>
      <c r="H171" s="6"/>
      <c r="I171" s="6"/>
      <c r="J171" s="6"/>
      <c r="K171" s="6"/>
      <c r="L171" s="6"/>
      <c r="M171" s="6"/>
      <c r="N171" s="6"/>
      <c r="O171" s="6"/>
    </row>
    <row r="172">
      <c r="B172" s="368"/>
      <c r="C172" s="368"/>
      <c r="D172" s="368"/>
      <c r="H172" s="6"/>
      <c r="I172" s="6"/>
      <c r="J172" s="6"/>
      <c r="K172" s="6"/>
      <c r="L172" s="6"/>
      <c r="M172" s="6"/>
      <c r="N172" s="6"/>
      <c r="O172" s="6"/>
    </row>
    <row r="173">
      <c r="B173" s="368"/>
      <c r="C173" s="368"/>
      <c r="D173" s="368"/>
      <c r="H173" s="6"/>
      <c r="I173" s="6"/>
      <c r="J173" s="6"/>
      <c r="K173" s="6"/>
      <c r="L173" s="6"/>
      <c r="M173" s="6"/>
      <c r="N173" s="6"/>
      <c r="O173" s="6"/>
    </row>
    <row r="174">
      <c r="B174" s="368"/>
      <c r="C174" s="368"/>
      <c r="D174" s="368"/>
      <c r="H174" s="6"/>
      <c r="I174" s="6"/>
      <c r="J174" s="6"/>
      <c r="K174" s="6"/>
      <c r="L174" s="6"/>
      <c r="M174" s="6"/>
      <c r="N174" s="6"/>
      <c r="O174" s="6"/>
    </row>
    <row r="175">
      <c r="B175" s="368"/>
      <c r="C175" s="368"/>
      <c r="D175" s="368"/>
      <c r="H175" s="6"/>
      <c r="I175" s="6"/>
      <c r="J175" s="6"/>
      <c r="K175" s="6"/>
      <c r="L175" s="6"/>
      <c r="M175" s="6"/>
      <c r="N175" s="6"/>
      <c r="O175" s="6"/>
    </row>
    <row r="176">
      <c r="B176" s="368"/>
      <c r="C176" s="368"/>
      <c r="D176" s="368"/>
      <c r="H176" s="6"/>
      <c r="I176" s="6"/>
      <c r="J176" s="6"/>
      <c r="K176" s="6"/>
      <c r="L176" s="6"/>
      <c r="M176" s="6"/>
      <c r="N176" s="6"/>
      <c r="O176" s="6"/>
    </row>
    <row r="177">
      <c r="B177" s="368"/>
      <c r="C177" s="368"/>
      <c r="D177" s="368"/>
      <c r="H177" s="6"/>
      <c r="I177" s="6"/>
      <c r="J177" s="6"/>
      <c r="K177" s="6"/>
      <c r="L177" s="6"/>
      <c r="M177" s="6"/>
      <c r="N177" s="6"/>
      <c r="O177" s="6"/>
    </row>
    <row r="178">
      <c r="B178" s="368"/>
      <c r="C178" s="368"/>
      <c r="D178" s="368"/>
      <c r="H178" s="6"/>
      <c r="I178" s="6"/>
      <c r="J178" s="6"/>
      <c r="K178" s="6"/>
      <c r="L178" s="6"/>
      <c r="M178" s="6"/>
      <c r="N178" s="6"/>
      <c r="O178" s="6"/>
    </row>
    <row r="179">
      <c r="B179" s="368"/>
      <c r="C179" s="368"/>
      <c r="D179" s="368"/>
      <c r="H179" s="6"/>
      <c r="I179" s="6"/>
      <c r="J179" s="6"/>
      <c r="K179" s="6"/>
      <c r="L179" s="6"/>
      <c r="M179" s="6"/>
      <c r="N179" s="6"/>
      <c r="O179" s="6"/>
    </row>
    <row r="180">
      <c r="B180" s="368"/>
      <c r="C180" s="368"/>
      <c r="D180" s="368"/>
      <c r="H180" s="6"/>
      <c r="I180" s="6"/>
      <c r="J180" s="6"/>
      <c r="K180" s="6"/>
      <c r="L180" s="6"/>
      <c r="M180" s="6"/>
      <c r="N180" s="6"/>
      <c r="O180" s="6"/>
    </row>
    <row r="181">
      <c r="B181" s="368"/>
      <c r="C181" s="368"/>
      <c r="D181" s="368"/>
      <c r="H181" s="6"/>
      <c r="I181" s="6"/>
      <c r="J181" s="6"/>
      <c r="K181" s="6"/>
      <c r="L181" s="6"/>
      <c r="M181" s="6"/>
      <c r="N181" s="6"/>
      <c r="O181" s="6"/>
    </row>
    <row r="182">
      <c r="B182" s="368"/>
      <c r="C182" s="368"/>
      <c r="D182" s="368"/>
      <c r="H182" s="6"/>
      <c r="I182" s="6"/>
      <c r="J182" s="6"/>
      <c r="K182" s="6"/>
      <c r="L182" s="6"/>
      <c r="M182" s="6"/>
      <c r="N182" s="6"/>
      <c r="O182" s="6"/>
    </row>
    <row r="183">
      <c r="B183" s="368"/>
      <c r="C183" s="368"/>
      <c r="D183" s="368"/>
      <c r="H183" s="6"/>
      <c r="I183" s="6"/>
      <c r="J183" s="6"/>
      <c r="K183" s="6"/>
      <c r="L183" s="6"/>
      <c r="M183" s="6"/>
      <c r="N183" s="6"/>
      <c r="O183" s="6"/>
    </row>
    <row r="184">
      <c r="B184" s="368"/>
      <c r="C184" s="368"/>
      <c r="D184" s="368"/>
      <c r="H184" s="6"/>
      <c r="I184" s="6"/>
      <c r="J184" s="6"/>
      <c r="K184" s="6"/>
      <c r="L184" s="6"/>
      <c r="M184" s="6"/>
      <c r="N184" s="6"/>
      <c r="O184" s="6"/>
    </row>
    <row r="185">
      <c r="B185" s="368"/>
      <c r="C185" s="368"/>
      <c r="D185" s="368"/>
      <c r="H185" s="6"/>
      <c r="I185" s="6"/>
      <c r="J185" s="6"/>
      <c r="K185" s="6"/>
      <c r="L185" s="6"/>
      <c r="M185" s="6"/>
      <c r="N185" s="6"/>
      <c r="O185" s="6"/>
    </row>
    <row r="186">
      <c r="B186" s="368"/>
      <c r="C186" s="368"/>
      <c r="D186" s="368"/>
      <c r="H186" s="6"/>
      <c r="I186" s="6"/>
      <c r="J186" s="6"/>
      <c r="K186" s="6"/>
      <c r="L186" s="6"/>
      <c r="M186" s="6"/>
      <c r="N186" s="6"/>
      <c r="O186" s="6"/>
    </row>
    <row r="187">
      <c r="B187" s="368"/>
      <c r="C187" s="368"/>
      <c r="D187" s="368"/>
      <c r="H187" s="6"/>
      <c r="I187" s="6"/>
      <c r="J187" s="6"/>
      <c r="K187" s="6"/>
      <c r="L187" s="6"/>
      <c r="M187" s="6"/>
      <c r="N187" s="6"/>
      <c r="O187" s="6"/>
    </row>
    <row r="188">
      <c r="B188" s="368"/>
      <c r="C188" s="368"/>
      <c r="D188" s="368"/>
      <c r="H188" s="6"/>
      <c r="I188" s="6"/>
      <c r="J188" s="6"/>
      <c r="K188" s="6"/>
      <c r="L188" s="6"/>
      <c r="M188" s="6"/>
      <c r="N188" s="6"/>
      <c r="O188" s="6"/>
    </row>
    <row r="189">
      <c r="B189" s="368"/>
      <c r="C189" s="368"/>
      <c r="D189" s="368"/>
      <c r="H189" s="6"/>
      <c r="I189" s="6"/>
      <c r="J189" s="6"/>
      <c r="K189" s="6"/>
      <c r="L189" s="6"/>
      <c r="M189" s="6"/>
      <c r="N189" s="6"/>
      <c r="O189" s="6"/>
    </row>
    <row r="190">
      <c r="B190" s="368"/>
      <c r="C190" s="368"/>
      <c r="D190" s="368"/>
      <c r="H190" s="6"/>
      <c r="I190" s="6"/>
      <c r="J190" s="6"/>
      <c r="K190" s="6"/>
      <c r="L190" s="6"/>
      <c r="M190" s="6"/>
      <c r="N190" s="6"/>
      <c r="O190" s="6"/>
    </row>
    <row r="191">
      <c r="B191" s="368"/>
      <c r="C191" s="368"/>
      <c r="D191" s="368"/>
      <c r="H191" s="6"/>
      <c r="I191" s="6"/>
      <c r="J191" s="6"/>
      <c r="K191" s="6"/>
      <c r="L191" s="6"/>
      <c r="M191" s="6"/>
      <c r="N191" s="6"/>
      <c r="O191" s="6"/>
    </row>
    <row r="192">
      <c r="B192" s="368"/>
      <c r="C192" s="368"/>
      <c r="D192" s="368"/>
      <c r="H192" s="6"/>
      <c r="I192" s="6"/>
      <c r="J192" s="6"/>
      <c r="K192" s="6"/>
      <c r="L192" s="6"/>
      <c r="M192" s="6"/>
      <c r="N192" s="6"/>
      <c r="O192" s="6"/>
    </row>
    <row r="193">
      <c r="B193" s="368"/>
      <c r="C193" s="368"/>
      <c r="D193" s="368"/>
      <c r="H193" s="6"/>
      <c r="I193" s="6"/>
      <c r="J193" s="6"/>
      <c r="K193" s="6"/>
      <c r="L193" s="6"/>
      <c r="M193" s="6"/>
      <c r="N193" s="6"/>
      <c r="O193" s="6"/>
    </row>
    <row r="194">
      <c r="B194" s="368"/>
      <c r="C194" s="368"/>
      <c r="D194" s="368"/>
      <c r="H194" s="6"/>
      <c r="I194" s="6"/>
      <c r="J194" s="6"/>
      <c r="K194" s="6"/>
      <c r="L194" s="6"/>
      <c r="M194" s="6"/>
      <c r="N194" s="6"/>
      <c r="O194" s="6"/>
    </row>
    <row r="195">
      <c r="B195" s="368"/>
      <c r="C195" s="368"/>
      <c r="D195" s="368"/>
      <c r="H195" s="6"/>
      <c r="I195" s="6"/>
      <c r="J195" s="6"/>
      <c r="K195" s="6"/>
      <c r="L195" s="6"/>
      <c r="M195" s="6"/>
      <c r="N195" s="6"/>
      <c r="O195" s="6"/>
    </row>
    <row r="196">
      <c r="B196" s="368"/>
      <c r="C196" s="368"/>
      <c r="D196" s="368"/>
      <c r="H196" s="6"/>
      <c r="I196" s="6"/>
      <c r="J196" s="6"/>
      <c r="K196" s="6"/>
      <c r="L196" s="6"/>
      <c r="M196" s="6"/>
      <c r="N196" s="6"/>
      <c r="O196" s="6"/>
    </row>
    <row r="197">
      <c r="B197" s="368"/>
      <c r="C197" s="368"/>
      <c r="D197" s="368"/>
      <c r="H197" s="6"/>
      <c r="I197" s="6"/>
      <c r="J197" s="6"/>
      <c r="K197" s="6"/>
      <c r="L197" s="6"/>
      <c r="M197" s="6"/>
      <c r="N197" s="6"/>
      <c r="O197" s="6"/>
    </row>
    <row r="198">
      <c r="B198" s="368"/>
      <c r="C198" s="368"/>
      <c r="D198" s="368"/>
      <c r="H198" s="6"/>
      <c r="I198" s="6"/>
      <c r="J198" s="6"/>
      <c r="K198" s="6"/>
      <c r="L198" s="6"/>
      <c r="M198" s="6"/>
      <c r="N198" s="6"/>
      <c r="O198" s="6"/>
    </row>
    <row r="199">
      <c r="B199" s="368"/>
      <c r="C199" s="368"/>
      <c r="D199" s="368"/>
      <c r="H199" s="6"/>
      <c r="I199" s="6"/>
      <c r="J199" s="6"/>
      <c r="K199" s="6"/>
      <c r="L199" s="6"/>
      <c r="M199" s="6"/>
      <c r="N199" s="6"/>
      <c r="O199" s="6"/>
    </row>
    <row r="200">
      <c r="B200" s="368"/>
      <c r="C200" s="368"/>
      <c r="D200" s="368"/>
      <c r="H200" s="6"/>
      <c r="I200" s="6"/>
      <c r="J200" s="6"/>
      <c r="K200" s="6"/>
      <c r="L200" s="6"/>
      <c r="M200" s="6"/>
      <c r="N200" s="6"/>
      <c r="O200" s="6"/>
    </row>
    <row r="201">
      <c r="B201" s="368"/>
      <c r="C201" s="368"/>
      <c r="D201" s="368"/>
      <c r="H201" s="6"/>
      <c r="I201" s="6"/>
      <c r="J201" s="6"/>
      <c r="K201" s="6"/>
      <c r="L201" s="6"/>
      <c r="M201" s="6"/>
      <c r="N201" s="6"/>
      <c r="O201" s="6"/>
    </row>
    <row r="202">
      <c r="B202" s="368"/>
      <c r="C202" s="368"/>
      <c r="D202" s="368"/>
      <c r="H202" s="6"/>
      <c r="I202" s="6"/>
      <c r="J202" s="6"/>
      <c r="K202" s="6"/>
      <c r="L202" s="6"/>
      <c r="M202" s="6"/>
      <c r="N202" s="6"/>
      <c r="O202" s="6"/>
    </row>
    <row r="203">
      <c r="B203" s="368"/>
      <c r="C203" s="368"/>
      <c r="D203" s="368"/>
      <c r="H203" s="6"/>
      <c r="I203" s="6"/>
      <c r="J203" s="6"/>
      <c r="K203" s="6"/>
      <c r="L203" s="6"/>
      <c r="M203" s="6"/>
      <c r="N203" s="6"/>
      <c r="O203" s="6"/>
    </row>
    <row r="204">
      <c r="B204" s="368"/>
      <c r="C204" s="368"/>
      <c r="D204" s="368"/>
      <c r="H204" s="6"/>
      <c r="I204" s="6"/>
      <c r="J204" s="6"/>
      <c r="K204" s="6"/>
      <c r="L204" s="6"/>
      <c r="M204" s="6"/>
      <c r="N204" s="6"/>
      <c r="O204" s="6"/>
    </row>
    <row r="205">
      <c r="B205" s="368"/>
      <c r="C205" s="368"/>
      <c r="D205" s="368"/>
      <c r="H205" s="6"/>
      <c r="I205" s="6"/>
      <c r="J205" s="6"/>
      <c r="K205" s="6"/>
      <c r="L205" s="6"/>
      <c r="M205" s="6"/>
      <c r="N205" s="6"/>
      <c r="O205" s="6"/>
    </row>
    <row r="206">
      <c r="B206" s="368"/>
      <c r="C206" s="368"/>
      <c r="D206" s="368"/>
      <c r="H206" s="6"/>
      <c r="I206" s="6"/>
      <c r="J206" s="6"/>
      <c r="K206" s="6"/>
      <c r="L206" s="6"/>
      <c r="M206" s="6"/>
      <c r="N206" s="6"/>
      <c r="O206" s="6"/>
    </row>
    <row r="207">
      <c r="B207" s="368"/>
      <c r="C207" s="368"/>
      <c r="D207" s="368"/>
      <c r="H207" s="6"/>
      <c r="I207" s="6"/>
      <c r="J207" s="6"/>
      <c r="K207" s="6"/>
      <c r="L207" s="6"/>
      <c r="M207" s="6"/>
      <c r="N207" s="6"/>
      <c r="O207" s="6"/>
    </row>
    <row r="208">
      <c r="B208" s="368"/>
      <c r="C208" s="368"/>
      <c r="D208" s="368"/>
      <c r="H208" s="6"/>
      <c r="I208" s="6"/>
      <c r="J208" s="6"/>
      <c r="K208" s="6"/>
      <c r="L208" s="6"/>
      <c r="M208" s="6"/>
      <c r="N208" s="6"/>
      <c r="O208" s="6"/>
    </row>
    <row r="209">
      <c r="B209" s="368"/>
      <c r="C209" s="368"/>
      <c r="D209" s="368"/>
      <c r="H209" s="6"/>
      <c r="I209" s="6"/>
      <c r="J209" s="6"/>
      <c r="K209" s="6"/>
      <c r="L209" s="6"/>
      <c r="M209" s="6"/>
      <c r="N209" s="6"/>
      <c r="O209" s="6"/>
    </row>
    <row r="210">
      <c r="B210" s="368"/>
      <c r="C210" s="368"/>
      <c r="D210" s="368"/>
      <c r="H210" s="6"/>
      <c r="I210" s="6"/>
      <c r="J210" s="6"/>
      <c r="K210" s="6"/>
      <c r="L210" s="6"/>
      <c r="M210" s="6"/>
      <c r="N210" s="6"/>
      <c r="O210" s="6"/>
    </row>
    <row r="211">
      <c r="B211" s="368"/>
      <c r="C211" s="368"/>
      <c r="D211" s="368"/>
      <c r="H211" s="6"/>
      <c r="I211" s="6"/>
      <c r="J211" s="6"/>
      <c r="K211" s="6"/>
      <c r="L211" s="6"/>
      <c r="M211" s="6"/>
      <c r="N211" s="6"/>
      <c r="O211" s="6"/>
    </row>
    <row r="212">
      <c r="B212" s="368"/>
      <c r="C212" s="368"/>
      <c r="D212" s="368"/>
      <c r="H212" s="6"/>
      <c r="I212" s="6"/>
      <c r="J212" s="6"/>
      <c r="K212" s="6"/>
      <c r="L212" s="6"/>
      <c r="M212" s="6"/>
      <c r="N212" s="6"/>
      <c r="O212" s="6"/>
    </row>
    <row r="213">
      <c r="B213" s="368"/>
      <c r="C213" s="368"/>
      <c r="D213" s="368"/>
      <c r="H213" s="6"/>
      <c r="I213" s="6"/>
      <c r="J213" s="6"/>
      <c r="K213" s="6"/>
      <c r="L213" s="6"/>
      <c r="M213" s="6"/>
      <c r="N213" s="6"/>
      <c r="O213" s="6"/>
    </row>
    <row r="214">
      <c r="B214" s="368"/>
      <c r="C214" s="368"/>
      <c r="D214" s="368"/>
      <c r="H214" s="6"/>
      <c r="I214" s="6"/>
      <c r="J214" s="6"/>
      <c r="K214" s="6"/>
      <c r="L214" s="6"/>
      <c r="M214" s="6"/>
      <c r="N214" s="6"/>
      <c r="O214" s="6"/>
    </row>
    <row r="215">
      <c r="B215" s="368"/>
      <c r="C215" s="368"/>
      <c r="D215" s="368"/>
      <c r="H215" s="6"/>
      <c r="I215" s="6"/>
      <c r="J215" s="6"/>
      <c r="K215" s="6"/>
      <c r="L215" s="6"/>
      <c r="M215" s="6"/>
      <c r="N215" s="6"/>
      <c r="O215" s="6"/>
    </row>
    <row r="216">
      <c r="B216" s="368"/>
      <c r="C216" s="368"/>
      <c r="D216" s="368"/>
      <c r="H216" s="6"/>
      <c r="I216" s="6"/>
      <c r="J216" s="6"/>
      <c r="K216" s="6"/>
      <c r="L216" s="6"/>
      <c r="M216" s="6"/>
      <c r="N216" s="6"/>
      <c r="O216" s="6"/>
    </row>
    <row r="217">
      <c r="B217" s="368"/>
      <c r="C217" s="368"/>
      <c r="D217" s="368"/>
      <c r="H217" s="6"/>
      <c r="I217" s="6"/>
      <c r="J217" s="6"/>
      <c r="K217" s="6"/>
      <c r="L217" s="6"/>
      <c r="M217" s="6"/>
      <c r="N217" s="6"/>
      <c r="O217" s="6"/>
    </row>
    <row r="218">
      <c r="B218" s="368"/>
      <c r="C218" s="368"/>
      <c r="D218" s="368"/>
      <c r="H218" s="6"/>
      <c r="I218" s="6"/>
      <c r="J218" s="6"/>
      <c r="K218" s="6"/>
      <c r="L218" s="6"/>
      <c r="M218" s="6"/>
      <c r="N218" s="6"/>
      <c r="O218" s="6"/>
    </row>
    <row r="219">
      <c r="B219" s="368"/>
      <c r="C219" s="368"/>
      <c r="D219" s="368"/>
      <c r="H219" s="6"/>
      <c r="I219" s="6"/>
      <c r="J219" s="6"/>
      <c r="K219" s="6"/>
      <c r="L219" s="6"/>
      <c r="M219" s="6"/>
      <c r="N219" s="6"/>
      <c r="O219" s="6"/>
    </row>
    <row r="220">
      <c r="B220" s="368"/>
      <c r="C220" s="368"/>
      <c r="D220" s="368"/>
      <c r="H220" s="6"/>
      <c r="I220" s="6"/>
      <c r="J220" s="6"/>
      <c r="K220" s="6"/>
      <c r="L220" s="6"/>
      <c r="M220" s="6"/>
      <c r="N220" s="6"/>
      <c r="O220" s="6"/>
    </row>
    <row r="221">
      <c r="B221" s="368"/>
      <c r="C221" s="368"/>
      <c r="D221" s="368"/>
      <c r="H221" s="6"/>
      <c r="I221" s="6"/>
      <c r="J221" s="6"/>
      <c r="K221" s="6"/>
      <c r="L221" s="6"/>
      <c r="M221" s="6"/>
      <c r="N221" s="6"/>
      <c r="O221" s="6"/>
    </row>
    <row r="222">
      <c r="B222" s="368"/>
      <c r="C222" s="368"/>
      <c r="D222" s="368"/>
      <c r="H222" s="6"/>
      <c r="I222" s="6"/>
      <c r="J222" s="6"/>
      <c r="K222" s="6"/>
      <c r="L222" s="6"/>
      <c r="M222" s="6"/>
      <c r="N222" s="6"/>
      <c r="O222" s="6"/>
    </row>
    <row r="223">
      <c r="B223" s="368"/>
      <c r="C223" s="368"/>
      <c r="D223" s="368"/>
      <c r="H223" s="6"/>
      <c r="I223" s="6"/>
      <c r="J223" s="6"/>
      <c r="K223" s="6"/>
      <c r="L223" s="6"/>
      <c r="M223" s="6"/>
      <c r="N223" s="6"/>
      <c r="O223" s="6"/>
    </row>
    <row r="224">
      <c r="B224" s="368"/>
      <c r="C224" s="368"/>
      <c r="D224" s="368"/>
      <c r="H224" s="6"/>
      <c r="I224" s="6"/>
      <c r="J224" s="6"/>
      <c r="K224" s="6"/>
      <c r="L224" s="6"/>
      <c r="M224" s="6"/>
      <c r="N224" s="6"/>
      <c r="O224" s="6"/>
    </row>
    <row r="225">
      <c r="B225" s="368"/>
      <c r="C225" s="368"/>
      <c r="D225" s="368"/>
      <c r="H225" s="6"/>
      <c r="I225" s="6"/>
      <c r="J225" s="6"/>
      <c r="K225" s="6"/>
      <c r="L225" s="6"/>
      <c r="M225" s="6"/>
      <c r="N225" s="6"/>
      <c r="O225" s="6"/>
    </row>
    <row r="226">
      <c r="B226" s="368"/>
      <c r="C226" s="368"/>
      <c r="D226" s="368"/>
      <c r="H226" s="6"/>
      <c r="I226" s="6"/>
      <c r="J226" s="6"/>
      <c r="K226" s="6"/>
      <c r="L226" s="6"/>
      <c r="M226" s="6"/>
      <c r="N226" s="6"/>
      <c r="O226" s="6"/>
    </row>
    <row r="227">
      <c r="B227" s="368"/>
      <c r="C227" s="368"/>
      <c r="D227" s="368"/>
      <c r="H227" s="6"/>
      <c r="I227" s="6"/>
      <c r="J227" s="6"/>
      <c r="K227" s="6"/>
      <c r="L227" s="6"/>
      <c r="M227" s="6"/>
      <c r="N227" s="6"/>
      <c r="O227" s="6"/>
    </row>
    <row r="228">
      <c r="B228" s="368"/>
      <c r="C228" s="368"/>
      <c r="D228" s="368"/>
      <c r="H228" s="6"/>
      <c r="I228" s="6"/>
      <c r="J228" s="6"/>
      <c r="K228" s="6"/>
      <c r="L228" s="6"/>
      <c r="M228" s="6"/>
      <c r="N228" s="6"/>
      <c r="O228" s="6"/>
    </row>
    <row r="229">
      <c r="B229" s="368"/>
      <c r="C229" s="368"/>
      <c r="D229" s="368"/>
      <c r="H229" s="6"/>
      <c r="I229" s="6"/>
      <c r="J229" s="6"/>
      <c r="K229" s="6"/>
      <c r="L229" s="6"/>
      <c r="M229" s="6"/>
      <c r="N229" s="6"/>
      <c r="O229" s="6"/>
    </row>
    <row r="230">
      <c r="B230" s="368"/>
      <c r="C230" s="368"/>
      <c r="D230" s="368"/>
      <c r="H230" s="6"/>
      <c r="I230" s="6"/>
      <c r="J230" s="6"/>
      <c r="K230" s="6"/>
      <c r="L230" s="6"/>
      <c r="M230" s="6"/>
      <c r="N230" s="6"/>
      <c r="O230" s="6"/>
    </row>
    <row r="231">
      <c r="B231" s="368"/>
      <c r="C231" s="368"/>
      <c r="D231" s="368"/>
      <c r="H231" s="6"/>
      <c r="I231" s="6"/>
      <c r="J231" s="6"/>
      <c r="K231" s="6"/>
      <c r="L231" s="6"/>
      <c r="M231" s="6"/>
      <c r="N231" s="6"/>
      <c r="O231" s="6"/>
    </row>
    <row r="232">
      <c r="B232" s="368"/>
      <c r="C232" s="368"/>
      <c r="D232" s="368"/>
      <c r="H232" s="6"/>
      <c r="I232" s="6"/>
      <c r="J232" s="6"/>
      <c r="K232" s="6"/>
      <c r="L232" s="6"/>
      <c r="M232" s="6"/>
      <c r="N232" s="6"/>
      <c r="O232" s="6"/>
    </row>
    <row r="233">
      <c r="B233" s="368"/>
      <c r="C233" s="368"/>
      <c r="D233" s="368"/>
      <c r="H233" s="6"/>
      <c r="I233" s="6"/>
      <c r="J233" s="6"/>
      <c r="K233" s="6"/>
      <c r="L233" s="6"/>
      <c r="M233" s="6"/>
      <c r="N233" s="6"/>
      <c r="O233" s="6"/>
    </row>
    <row r="234">
      <c r="B234" s="368"/>
      <c r="C234" s="368"/>
      <c r="D234" s="368"/>
      <c r="H234" s="6"/>
      <c r="I234" s="6"/>
      <c r="J234" s="6"/>
      <c r="K234" s="6"/>
      <c r="L234" s="6"/>
      <c r="M234" s="6"/>
      <c r="N234" s="6"/>
      <c r="O234" s="6"/>
    </row>
    <row r="235">
      <c r="B235" s="368"/>
      <c r="C235" s="368"/>
      <c r="D235" s="368"/>
      <c r="H235" s="6"/>
      <c r="I235" s="6"/>
      <c r="J235" s="6"/>
      <c r="K235" s="6"/>
      <c r="L235" s="6"/>
      <c r="M235" s="6"/>
      <c r="N235" s="6"/>
      <c r="O235" s="6"/>
    </row>
    <row r="236">
      <c r="B236" s="368"/>
      <c r="C236" s="368"/>
      <c r="D236" s="368"/>
      <c r="H236" s="6"/>
      <c r="I236" s="6"/>
      <c r="J236" s="6"/>
      <c r="K236" s="6"/>
      <c r="L236" s="6"/>
      <c r="M236" s="6"/>
      <c r="N236" s="6"/>
      <c r="O236" s="6"/>
    </row>
    <row r="237">
      <c r="B237" s="368"/>
      <c r="C237" s="368"/>
      <c r="D237" s="368"/>
      <c r="H237" s="6"/>
      <c r="I237" s="6"/>
      <c r="J237" s="6"/>
      <c r="K237" s="6"/>
      <c r="L237" s="6"/>
      <c r="M237" s="6"/>
      <c r="N237" s="6"/>
      <c r="O237" s="6"/>
    </row>
    <row r="238">
      <c r="B238" s="368"/>
      <c r="C238" s="368"/>
      <c r="D238" s="368"/>
      <c r="H238" s="6"/>
      <c r="I238" s="6"/>
      <c r="J238" s="6"/>
      <c r="K238" s="6"/>
      <c r="L238" s="6"/>
      <c r="M238" s="6"/>
      <c r="N238" s="6"/>
      <c r="O238" s="6"/>
    </row>
    <row r="239">
      <c r="B239" s="368"/>
      <c r="C239" s="368"/>
      <c r="D239" s="368"/>
      <c r="H239" s="6"/>
      <c r="I239" s="6"/>
      <c r="J239" s="6"/>
      <c r="K239" s="6"/>
      <c r="L239" s="6"/>
      <c r="M239" s="6"/>
      <c r="N239" s="6"/>
      <c r="O239" s="6"/>
    </row>
    <row r="240">
      <c r="B240" s="368"/>
      <c r="C240" s="368"/>
      <c r="D240" s="368"/>
      <c r="H240" s="6"/>
      <c r="I240" s="6"/>
      <c r="J240" s="6"/>
      <c r="K240" s="6"/>
      <c r="L240" s="6"/>
      <c r="M240" s="6"/>
      <c r="N240" s="6"/>
      <c r="O240" s="6"/>
    </row>
    <row r="241">
      <c r="B241" s="368"/>
      <c r="C241" s="368"/>
      <c r="D241" s="368"/>
      <c r="H241" s="6"/>
      <c r="I241" s="6"/>
      <c r="J241" s="6"/>
      <c r="K241" s="6"/>
      <c r="L241" s="6"/>
      <c r="M241" s="6"/>
      <c r="N241" s="6"/>
      <c r="O241" s="6"/>
    </row>
    <row r="242">
      <c r="B242" s="368"/>
      <c r="C242" s="368"/>
      <c r="D242" s="368"/>
      <c r="H242" s="6"/>
      <c r="I242" s="6"/>
      <c r="J242" s="6"/>
      <c r="K242" s="6"/>
      <c r="L242" s="6"/>
      <c r="M242" s="6"/>
      <c r="N242" s="6"/>
      <c r="O242" s="6"/>
    </row>
    <row r="243">
      <c r="B243" s="368"/>
      <c r="C243" s="368"/>
      <c r="D243" s="368"/>
      <c r="H243" s="6"/>
      <c r="I243" s="6"/>
      <c r="J243" s="6"/>
      <c r="K243" s="6"/>
      <c r="L243" s="6"/>
      <c r="M243" s="6"/>
      <c r="N243" s="6"/>
      <c r="O243" s="6"/>
    </row>
    <row r="244">
      <c r="B244" s="368"/>
      <c r="C244" s="368"/>
      <c r="D244" s="368"/>
      <c r="H244" s="6"/>
      <c r="I244" s="6"/>
      <c r="J244" s="6"/>
      <c r="K244" s="6"/>
      <c r="L244" s="6"/>
      <c r="M244" s="6"/>
      <c r="N244" s="6"/>
      <c r="O244" s="6"/>
    </row>
    <row r="245">
      <c r="B245" s="368"/>
      <c r="C245" s="368"/>
      <c r="D245" s="368"/>
      <c r="H245" s="6"/>
      <c r="I245" s="6"/>
      <c r="J245" s="6"/>
      <c r="K245" s="6"/>
      <c r="L245" s="6"/>
      <c r="M245" s="6"/>
      <c r="N245" s="6"/>
      <c r="O245" s="6"/>
    </row>
    <row r="246">
      <c r="B246" s="368"/>
      <c r="C246" s="368"/>
      <c r="D246" s="368"/>
      <c r="H246" s="6"/>
      <c r="I246" s="6"/>
      <c r="J246" s="6"/>
      <c r="K246" s="6"/>
      <c r="L246" s="6"/>
      <c r="M246" s="6"/>
      <c r="N246" s="6"/>
      <c r="O246" s="6"/>
    </row>
    <row r="247">
      <c r="B247" s="368"/>
      <c r="C247" s="368"/>
      <c r="D247" s="368"/>
      <c r="H247" s="6"/>
      <c r="I247" s="6"/>
      <c r="J247" s="6"/>
      <c r="K247" s="6"/>
      <c r="L247" s="6"/>
      <c r="M247" s="6"/>
      <c r="N247" s="6"/>
      <c r="O247" s="6"/>
    </row>
    <row r="248">
      <c r="B248" s="368"/>
      <c r="C248" s="368"/>
      <c r="D248" s="368"/>
      <c r="H248" s="6"/>
      <c r="I248" s="6"/>
      <c r="J248" s="6"/>
      <c r="K248" s="6"/>
      <c r="L248" s="6"/>
      <c r="M248" s="6"/>
      <c r="N248" s="6"/>
      <c r="O248" s="6"/>
    </row>
    <row r="249">
      <c r="B249" s="368"/>
      <c r="C249" s="368"/>
      <c r="D249" s="368"/>
      <c r="H249" s="6"/>
      <c r="I249" s="6"/>
      <c r="J249" s="6"/>
      <c r="K249" s="6"/>
      <c r="L249" s="6"/>
      <c r="M249" s="6"/>
      <c r="N249" s="6"/>
      <c r="O249" s="6"/>
    </row>
    <row r="250">
      <c r="B250" s="368"/>
      <c r="C250" s="368"/>
      <c r="D250" s="368"/>
      <c r="H250" s="6"/>
      <c r="I250" s="6"/>
      <c r="J250" s="6"/>
      <c r="K250" s="6"/>
      <c r="L250" s="6"/>
      <c r="M250" s="6"/>
      <c r="N250" s="6"/>
      <c r="O250" s="6"/>
    </row>
    <row r="251">
      <c r="B251" s="368"/>
      <c r="C251" s="368"/>
      <c r="D251" s="368"/>
      <c r="H251" s="6"/>
      <c r="I251" s="6"/>
      <c r="J251" s="6"/>
      <c r="K251" s="6"/>
      <c r="L251" s="6"/>
      <c r="M251" s="6"/>
      <c r="N251" s="6"/>
      <c r="O251" s="6"/>
    </row>
    <row r="252">
      <c r="B252" s="368"/>
      <c r="C252" s="368"/>
      <c r="D252" s="368"/>
      <c r="H252" s="6"/>
      <c r="I252" s="6"/>
      <c r="J252" s="6"/>
      <c r="K252" s="6"/>
      <c r="L252" s="6"/>
      <c r="M252" s="6"/>
      <c r="N252" s="6"/>
      <c r="O252" s="6"/>
    </row>
    <row r="253">
      <c r="B253" s="368"/>
      <c r="C253" s="368"/>
      <c r="D253" s="368"/>
      <c r="H253" s="6"/>
      <c r="I253" s="6"/>
      <c r="J253" s="6"/>
      <c r="K253" s="6"/>
      <c r="L253" s="6"/>
      <c r="M253" s="6"/>
      <c r="N253" s="6"/>
      <c r="O253" s="6"/>
    </row>
    <row r="254">
      <c r="B254" s="368"/>
      <c r="C254" s="368"/>
      <c r="D254" s="368"/>
      <c r="H254" s="6"/>
      <c r="I254" s="6"/>
      <c r="J254" s="6"/>
      <c r="K254" s="6"/>
      <c r="L254" s="6"/>
      <c r="M254" s="6"/>
      <c r="N254" s="6"/>
      <c r="O254" s="6"/>
    </row>
    <row r="255">
      <c r="B255" s="368"/>
      <c r="C255" s="368"/>
      <c r="D255" s="368"/>
      <c r="H255" s="6"/>
      <c r="I255" s="6"/>
      <c r="J255" s="6"/>
      <c r="K255" s="6"/>
      <c r="L255" s="6"/>
      <c r="M255" s="6"/>
      <c r="N255" s="6"/>
      <c r="O255" s="6"/>
    </row>
    <row r="256">
      <c r="B256" s="368"/>
      <c r="C256" s="368"/>
      <c r="D256" s="368"/>
      <c r="H256" s="6"/>
      <c r="I256" s="6"/>
      <c r="J256" s="6"/>
      <c r="K256" s="6"/>
      <c r="L256" s="6"/>
      <c r="M256" s="6"/>
      <c r="N256" s="6"/>
      <c r="O256" s="6"/>
    </row>
    <row r="257">
      <c r="B257" s="368"/>
      <c r="C257" s="368"/>
      <c r="D257" s="368"/>
      <c r="H257" s="6"/>
      <c r="I257" s="6"/>
      <c r="J257" s="6"/>
      <c r="K257" s="6"/>
      <c r="L257" s="6"/>
      <c r="M257" s="6"/>
      <c r="N257" s="6"/>
      <c r="O257" s="6"/>
    </row>
    <row r="258">
      <c r="B258" s="368"/>
      <c r="C258" s="368"/>
      <c r="D258" s="368"/>
      <c r="H258" s="6"/>
      <c r="I258" s="6"/>
      <c r="J258" s="6"/>
      <c r="K258" s="6"/>
      <c r="L258" s="6"/>
      <c r="M258" s="6"/>
      <c r="N258" s="6"/>
      <c r="O258" s="6"/>
    </row>
    <row r="259">
      <c r="B259" s="368"/>
      <c r="C259" s="368"/>
      <c r="D259" s="368"/>
      <c r="H259" s="6"/>
      <c r="I259" s="6"/>
      <c r="J259" s="6"/>
      <c r="K259" s="6"/>
      <c r="L259" s="6"/>
      <c r="M259" s="6"/>
      <c r="N259" s="6"/>
      <c r="O259" s="6"/>
    </row>
    <row r="260">
      <c r="B260" s="368"/>
      <c r="C260" s="368"/>
      <c r="D260" s="368"/>
      <c r="H260" s="6"/>
      <c r="I260" s="6"/>
      <c r="J260" s="6"/>
      <c r="K260" s="6"/>
      <c r="L260" s="6"/>
      <c r="M260" s="6"/>
      <c r="N260" s="6"/>
      <c r="O260" s="6"/>
    </row>
    <row r="261">
      <c r="B261" s="368"/>
      <c r="C261" s="368"/>
      <c r="D261" s="368"/>
      <c r="H261" s="6"/>
      <c r="I261" s="6"/>
      <c r="J261" s="6"/>
      <c r="K261" s="6"/>
      <c r="L261" s="6"/>
      <c r="M261" s="6"/>
      <c r="N261" s="6"/>
      <c r="O261" s="6"/>
    </row>
    <row r="262">
      <c r="B262" s="368"/>
      <c r="C262" s="368"/>
      <c r="D262" s="368"/>
      <c r="H262" s="6"/>
      <c r="I262" s="6"/>
      <c r="J262" s="6"/>
      <c r="K262" s="6"/>
      <c r="L262" s="6"/>
      <c r="M262" s="6"/>
      <c r="N262" s="6"/>
      <c r="O262" s="6"/>
    </row>
    <row r="263">
      <c r="B263" s="368"/>
      <c r="C263" s="368"/>
      <c r="D263" s="368"/>
      <c r="H263" s="6"/>
      <c r="I263" s="6"/>
      <c r="J263" s="6"/>
      <c r="K263" s="6"/>
      <c r="L263" s="6"/>
      <c r="M263" s="6"/>
      <c r="N263" s="6"/>
      <c r="O263" s="6"/>
    </row>
    <row r="264">
      <c r="B264" s="368"/>
      <c r="C264" s="368"/>
      <c r="D264" s="368"/>
      <c r="H264" s="6"/>
      <c r="I264" s="6"/>
      <c r="J264" s="6"/>
      <c r="K264" s="6"/>
      <c r="L264" s="6"/>
      <c r="M264" s="6"/>
      <c r="N264" s="6"/>
      <c r="O264" s="6"/>
    </row>
    <row r="265">
      <c r="B265" s="368"/>
      <c r="C265" s="368"/>
      <c r="D265" s="368"/>
      <c r="H265" s="6"/>
      <c r="I265" s="6"/>
      <c r="J265" s="6"/>
      <c r="K265" s="6"/>
      <c r="L265" s="6"/>
      <c r="M265" s="6"/>
      <c r="N265" s="6"/>
      <c r="O265" s="6"/>
    </row>
    <row r="266">
      <c r="B266" s="368"/>
      <c r="C266" s="368"/>
      <c r="D266" s="368"/>
      <c r="H266" s="6"/>
      <c r="I266" s="6"/>
      <c r="J266" s="6"/>
      <c r="K266" s="6"/>
      <c r="L266" s="6"/>
      <c r="M266" s="6"/>
      <c r="N266" s="6"/>
      <c r="O266" s="6"/>
    </row>
    <row r="267">
      <c r="B267" s="368"/>
      <c r="C267" s="368"/>
      <c r="D267" s="368"/>
      <c r="H267" s="6"/>
      <c r="I267" s="6"/>
      <c r="J267" s="6"/>
      <c r="K267" s="6"/>
      <c r="L267" s="6"/>
      <c r="M267" s="6"/>
      <c r="N267" s="6"/>
      <c r="O267" s="6"/>
    </row>
    <row r="268">
      <c r="B268" s="368"/>
      <c r="C268" s="368"/>
      <c r="D268" s="368"/>
      <c r="H268" s="6"/>
      <c r="I268" s="6"/>
      <c r="J268" s="6"/>
      <c r="K268" s="6"/>
      <c r="L268" s="6"/>
      <c r="M268" s="6"/>
      <c r="N268" s="6"/>
      <c r="O268" s="6"/>
    </row>
    <row r="269">
      <c r="B269" s="368"/>
      <c r="C269" s="368"/>
      <c r="D269" s="368"/>
      <c r="H269" s="6"/>
      <c r="I269" s="6"/>
      <c r="J269" s="6"/>
      <c r="K269" s="6"/>
      <c r="L269" s="6"/>
      <c r="M269" s="6"/>
      <c r="N269" s="6"/>
      <c r="O269" s="6"/>
    </row>
    <row r="270">
      <c r="B270" s="368"/>
      <c r="C270" s="368"/>
      <c r="D270" s="368"/>
      <c r="H270" s="6"/>
      <c r="I270" s="6"/>
      <c r="J270" s="6"/>
      <c r="K270" s="6"/>
      <c r="L270" s="6"/>
      <c r="M270" s="6"/>
      <c r="N270" s="6"/>
      <c r="O270" s="6"/>
    </row>
    <row r="271">
      <c r="B271" s="368"/>
      <c r="C271" s="368"/>
      <c r="D271" s="368"/>
      <c r="H271" s="6"/>
      <c r="I271" s="6"/>
      <c r="J271" s="6"/>
      <c r="K271" s="6"/>
      <c r="L271" s="6"/>
      <c r="M271" s="6"/>
      <c r="N271" s="6"/>
      <c r="O271" s="6"/>
    </row>
    <row r="272">
      <c r="B272" s="368"/>
      <c r="C272" s="368"/>
      <c r="D272" s="368"/>
      <c r="H272" s="6"/>
      <c r="I272" s="6"/>
      <c r="J272" s="6"/>
      <c r="K272" s="6"/>
      <c r="L272" s="6"/>
      <c r="M272" s="6"/>
      <c r="N272" s="6"/>
      <c r="O272" s="6"/>
    </row>
    <row r="273">
      <c r="B273" s="368"/>
      <c r="C273" s="368"/>
      <c r="D273" s="368"/>
      <c r="H273" s="6"/>
      <c r="I273" s="6"/>
      <c r="J273" s="6"/>
      <c r="K273" s="6"/>
      <c r="L273" s="6"/>
      <c r="M273" s="6"/>
      <c r="N273" s="6"/>
      <c r="O273" s="6"/>
    </row>
    <row r="274">
      <c r="B274" s="368"/>
      <c r="C274" s="368"/>
      <c r="D274" s="368"/>
      <c r="H274" s="6"/>
      <c r="I274" s="6"/>
      <c r="J274" s="6"/>
      <c r="K274" s="6"/>
      <c r="L274" s="6"/>
      <c r="M274" s="6"/>
      <c r="N274" s="6"/>
      <c r="O274" s="6"/>
    </row>
    <row r="275">
      <c r="B275" s="368"/>
      <c r="C275" s="368"/>
      <c r="D275" s="368"/>
      <c r="H275" s="6"/>
      <c r="I275" s="6"/>
      <c r="J275" s="6"/>
      <c r="K275" s="6"/>
      <c r="L275" s="6"/>
      <c r="M275" s="6"/>
      <c r="N275" s="6"/>
      <c r="O275" s="6"/>
    </row>
    <row r="276">
      <c r="B276" s="368"/>
      <c r="C276" s="368"/>
      <c r="D276" s="368"/>
      <c r="H276" s="6"/>
      <c r="I276" s="6"/>
      <c r="J276" s="6"/>
      <c r="K276" s="6"/>
      <c r="L276" s="6"/>
      <c r="M276" s="6"/>
      <c r="N276" s="6"/>
      <c r="O276" s="6"/>
    </row>
    <row r="277">
      <c r="B277" s="368"/>
      <c r="C277" s="368"/>
      <c r="D277" s="368"/>
      <c r="H277" s="6"/>
      <c r="I277" s="6"/>
      <c r="J277" s="6"/>
      <c r="K277" s="6"/>
      <c r="L277" s="6"/>
      <c r="M277" s="6"/>
      <c r="N277" s="6"/>
      <c r="O277" s="6"/>
    </row>
    <row r="278">
      <c r="B278" s="368"/>
      <c r="C278" s="368"/>
      <c r="D278" s="368"/>
      <c r="H278" s="6"/>
      <c r="I278" s="6"/>
      <c r="J278" s="6"/>
      <c r="K278" s="6"/>
      <c r="L278" s="6"/>
      <c r="M278" s="6"/>
      <c r="N278" s="6"/>
      <c r="O278" s="6"/>
    </row>
    <row r="279">
      <c r="B279" s="368"/>
      <c r="C279" s="368"/>
      <c r="D279" s="368"/>
      <c r="H279" s="6"/>
      <c r="I279" s="6"/>
      <c r="J279" s="6"/>
      <c r="K279" s="6"/>
      <c r="L279" s="6"/>
      <c r="M279" s="6"/>
      <c r="N279" s="6"/>
      <c r="O279" s="6"/>
    </row>
    <row r="280">
      <c r="B280" s="368"/>
      <c r="C280" s="368"/>
      <c r="D280" s="368"/>
      <c r="H280" s="6"/>
      <c r="I280" s="6"/>
      <c r="J280" s="6"/>
      <c r="K280" s="6"/>
      <c r="L280" s="6"/>
      <c r="M280" s="6"/>
      <c r="N280" s="6"/>
      <c r="O280" s="6"/>
    </row>
    <row r="281">
      <c r="B281" s="368"/>
      <c r="C281" s="368"/>
      <c r="D281" s="368"/>
      <c r="H281" s="6"/>
      <c r="I281" s="6"/>
      <c r="J281" s="6"/>
      <c r="K281" s="6"/>
      <c r="L281" s="6"/>
      <c r="M281" s="6"/>
      <c r="N281" s="6"/>
      <c r="O281" s="6"/>
    </row>
    <row r="282">
      <c r="B282" s="368"/>
      <c r="C282" s="368"/>
      <c r="D282" s="368"/>
      <c r="H282" s="6"/>
      <c r="I282" s="6"/>
      <c r="J282" s="6"/>
      <c r="K282" s="6"/>
      <c r="L282" s="6"/>
      <c r="M282" s="6"/>
      <c r="N282" s="6"/>
      <c r="O282" s="6"/>
    </row>
    <row r="283">
      <c r="B283" s="368"/>
      <c r="C283" s="368"/>
      <c r="D283" s="368"/>
      <c r="H283" s="6"/>
      <c r="I283" s="6"/>
      <c r="J283" s="6"/>
      <c r="K283" s="6"/>
      <c r="L283" s="6"/>
      <c r="M283" s="6"/>
      <c r="N283" s="6"/>
      <c r="O283" s="6"/>
    </row>
    <row r="284">
      <c r="B284" s="368"/>
      <c r="C284" s="368"/>
      <c r="D284" s="368"/>
      <c r="H284" s="6"/>
      <c r="I284" s="6"/>
      <c r="J284" s="6"/>
      <c r="K284" s="6"/>
      <c r="L284" s="6"/>
      <c r="M284" s="6"/>
      <c r="N284" s="6"/>
      <c r="O284" s="6"/>
    </row>
    <row r="285">
      <c r="B285" s="368"/>
      <c r="C285" s="368"/>
      <c r="D285" s="368"/>
      <c r="H285" s="6"/>
      <c r="I285" s="6"/>
      <c r="J285" s="6"/>
      <c r="K285" s="6"/>
      <c r="L285" s="6"/>
      <c r="M285" s="6"/>
      <c r="N285" s="6"/>
      <c r="O285" s="6"/>
    </row>
    <row r="286">
      <c r="B286" s="368"/>
      <c r="C286" s="368"/>
      <c r="D286" s="368"/>
      <c r="H286" s="6"/>
      <c r="I286" s="6"/>
      <c r="J286" s="6"/>
      <c r="K286" s="6"/>
      <c r="L286" s="6"/>
      <c r="M286" s="6"/>
      <c r="N286" s="6"/>
      <c r="O286" s="6"/>
    </row>
    <row r="287">
      <c r="B287" s="368"/>
      <c r="C287" s="368"/>
      <c r="D287" s="368"/>
      <c r="H287" s="6"/>
      <c r="I287" s="6"/>
      <c r="J287" s="6"/>
      <c r="K287" s="6"/>
      <c r="L287" s="6"/>
      <c r="M287" s="6"/>
      <c r="N287" s="6"/>
      <c r="O287" s="6"/>
    </row>
    <row r="288">
      <c r="B288" s="368"/>
      <c r="C288" s="368"/>
      <c r="D288" s="368"/>
      <c r="H288" s="6"/>
      <c r="I288" s="6"/>
      <c r="J288" s="6"/>
      <c r="K288" s="6"/>
      <c r="L288" s="6"/>
      <c r="M288" s="6"/>
      <c r="N288" s="6"/>
      <c r="O288" s="6"/>
    </row>
    <row r="289">
      <c r="B289" s="368"/>
      <c r="C289" s="368"/>
      <c r="D289" s="368"/>
      <c r="H289" s="6"/>
      <c r="I289" s="6"/>
      <c r="J289" s="6"/>
      <c r="K289" s="6"/>
      <c r="L289" s="6"/>
      <c r="M289" s="6"/>
      <c r="N289" s="6"/>
      <c r="O289" s="6"/>
    </row>
    <row r="290">
      <c r="B290" s="368"/>
      <c r="C290" s="368"/>
      <c r="D290" s="368"/>
      <c r="H290" s="6"/>
      <c r="I290" s="6"/>
      <c r="J290" s="6"/>
      <c r="K290" s="6"/>
      <c r="L290" s="6"/>
      <c r="M290" s="6"/>
      <c r="N290" s="6"/>
      <c r="O290" s="6"/>
    </row>
    <row r="291">
      <c r="B291" s="368"/>
      <c r="C291" s="368"/>
      <c r="D291" s="368"/>
      <c r="H291" s="6"/>
      <c r="I291" s="6"/>
      <c r="J291" s="6"/>
      <c r="K291" s="6"/>
      <c r="L291" s="6"/>
      <c r="M291" s="6"/>
      <c r="N291" s="6"/>
      <c r="O291" s="6"/>
    </row>
    <row r="292">
      <c r="B292" s="368"/>
      <c r="C292" s="368"/>
      <c r="D292" s="368"/>
      <c r="H292" s="6"/>
      <c r="I292" s="6"/>
      <c r="J292" s="6"/>
      <c r="K292" s="6"/>
      <c r="L292" s="6"/>
      <c r="M292" s="6"/>
      <c r="N292" s="6"/>
      <c r="O292" s="6"/>
    </row>
    <row r="293">
      <c r="B293" s="368"/>
      <c r="C293" s="368"/>
      <c r="D293" s="368"/>
      <c r="H293" s="6"/>
      <c r="I293" s="6"/>
      <c r="J293" s="6"/>
      <c r="K293" s="6"/>
      <c r="L293" s="6"/>
      <c r="M293" s="6"/>
      <c r="N293" s="6"/>
      <c r="O293" s="6"/>
    </row>
    <row r="294">
      <c r="B294" s="368"/>
      <c r="C294" s="368"/>
      <c r="D294" s="368"/>
      <c r="H294" s="6"/>
      <c r="I294" s="6"/>
      <c r="J294" s="6"/>
      <c r="K294" s="6"/>
      <c r="L294" s="6"/>
      <c r="M294" s="6"/>
      <c r="N294" s="6"/>
      <c r="O294" s="6"/>
    </row>
    <row r="295">
      <c r="B295" s="368"/>
      <c r="C295" s="368"/>
      <c r="D295" s="368"/>
      <c r="H295" s="6"/>
      <c r="I295" s="6"/>
      <c r="J295" s="6"/>
      <c r="K295" s="6"/>
      <c r="L295" s="6"/>
      <c r="M295" s="6"/>
      <c r="N295" s="6"/>
      <c r="O295" s="6"/>
    </row>
    <row r="296">
      <c r="B296" s="368"/>
      <c r="C296" s="368"/>
      <c r="D296" s="368"/>
      <c r="H296" s="6"/>
      <c r="I296" s="6"/>
      <c r="J296" s="6"/>
      <c r="K296" s="6"/>
      <c r="L296" s="6"/>
      <c r="M296" s="6"/>
      <c r="N296" s="6"/>
      <c r="O296" s="6"/>
    </row>
    <row r="297">
      <c r="B297" s="368"/>
      <c r="C297" s="368"/>
      <c r="D297" s="368"/>
      <c r="H297" s="6"/>
      <c r="I297" s="6"/>
      <c r="J297" s="6"/>
      <c r="K297" s="6"/>
      <c r="L297" s="6"/>
      <c r="M297" s="6"/>
      <c r="N297" s="6"/>
      <c r="O297" s="6"/>
    </row>
    <row r="298">
      <c r="B298" s="368"/>
      <c r="C298" s="368"/>
      <c r="D298" s="368"/>
      <c r="H298" s="6"/>
      <c r="I298" s="6"/>
      <c r="J298" s="6"/>
      <c r="K298" s="6"/>
      <c r="L298" s="6"/>
      <c r="M298" s="6"/>
      <c r="N298" s="6"/>
      <c r="O298" s="6"/>
    </row>
    <row r="299">
      <c r="B299" s="368"/>
      <c r="C299" s="368"/>
      <c r="D299" s="368"/>
      <c r="H299" s="6"/>
      <c r="I299" s="6"/>
      <c r="J299" s="6"/>
      <c r="K299" s="6"/>
      <c r="L299" s="6"/>
      <c r="M299" s="6"/>
      <c r="N299" s="6"/>
      <c r="O299" s="6"/>
    </row>
    <row r="300">
      <c r="B300" s="368"/>
      <c r="C300" s="368"/>
      <c r="D300" s="368"/>
      <c r="H300" s="6"/>
      <c r="I300" s="6"/>
      <c r="J300" s="6"/>
      <c r="K300" s="6"/>
      <c r="L300" s="6"/>
      <c r="M300" s="6"/>
      <c r="N300" s="6"/>
      <c r="O300" s="6"/>
    </row>
    <row r="301">
      <c r="B301" s="368"/>
      <c r="C301" s="368"/>
      <c r="D301" s="368"/>
      <c r="H301" s="6"/>
      <c r="I301" s="6"/>
      <c r="J301" s="6"/>
      <c r="K301" s="6"/>
      <c r="L301" s="6"/>
      <c r="M301" s="6"/>
      <c r="N301" s="6"/>
      <c r="O301" s="6"/>
    </row>
    <row r="302">
      <c r="B302" s="368"/>
      <c r="C302" s="368"/>
      <c r="D302" s="368"/>
      <c r="H302" s="6"/>
      <c r="I302" s="6"/>
      <c r="J302" s="6"/>
      <c r="K302" s="6"/>
      <c r="L302" s="6"/>
      <c r="M302" s="6"/>
      <c r="N302" s="6"/>
      <c r="O302" s="6"/>
    </row>
    <row r="303">
      <c r="B303" s="368"/>
      <c r="C303" s="368"/>
      <c r="D303" s="368"/>
      <c r="H303" s="6"/>
      <c r="I303" s="6"/>
      <c r="J303" s="6"/>
      <c r="K303" s="6"/>
      <c r="L303" s="6"/>
      <c r="M303" s="6"/>
      <c r="N303" s="6"/>
      <c r="O303" s="6"/>
    </row>
    <row r="304">
      <c r="B304" s="368"/>
      <c r="C304" s="368"/>
      <c r="D304" s="368"/>
      <c r="H304" s="6"/>
      <c r="I304" s="6"/>
      <c r="J304" s="6"/>
      <c r="K304" s="6"/>
      <c r="L304" s="6"/>
      <c r="M304" s="6"/>
      <c r="N304" s="6"/>
      <c r="O304" s="6"/>
    </row>
    <row r="305">
      <c r="B305" s="368"/>
      <c r="C305" s="368"/>
      <c r="D305" s="368"/>
      <c r="H305" s="6"/>
      <c r="I305" s="6"/>
      <c r="J305" s="6"/>
      <c r="K305" s="6"/>
      <c r="L305" s="6"/>
      <c r="M305" s="6"/>
      <c r="N305" s="6"/>
      <c r="O305" s="6"/>
    </row>
    <row r="306">
      <c r="B306" s="368"/>
      <c r="C306" s="368"/>
      <c r="D306" s="368"/>
      <c r="H306" s="6"/>
      <c r="I306" s="6"/>
      <c r="J306" s="6"/>
      <c r="K306" s="6"/>
      <c r="L306" s="6"/>
      <c r="M306" s="6"/>
      <c r="N306" s="6"/>
      <c r="O306" s="6"/>
    </row>
    <row r="307">
      <c r="B307" s="368"/>
      <c r="C307" s="368"/>
      <c r="D307" s="368"/>
      <c r="H307" s="6"/>
      <c r="I307" s="6"/>
      <c r="J307" s="6"/>
      <c r="K307" s="6"/>
      <c r="L307" s="6"/>
      <c r="M307" s="6"/>
      <c r="N307" s="6"/>
      <c r="O307" s="6"/>
    </row>
    <row r="308">
      <c r="B308" s="368"/>
      <c r="C308" s="368"/>
      <c r="D308" s="368"/>
      <c r="H308" s="6"/>
      <c r="I308" s="6"/>
      <c r="J308" s="6"/>
      <c r="K308" s="6"/>
      <c r="L308" s="6"/>
      <c r="M308" s="6"/>
      <c r="N308" s="6"/>
      <c r="O308" s="6"/>
    </row>
    <row r="309">
      <c r="B309" s="368"/>
      <c r="C309" s="368"/>
      <c r="D309" s="368"/>
      <c r="H309" s="6"/>
      <c r="I309" s="6"/>
      <c r="J309" s="6"/>
      <c r="K309" s="6"/>
      <c r="L309" s="6"/>
      <c r="M309" s="6"/>
      <c r="N309" s="6"/>
      <c r="O309" s="6"/>
    </row>
    <row r="310">
      <c r="B310" s="368"/>
      <c r="C310" s="368"/>
      <c r="D310" s="368"/>
      <c r="H310" s="6"/>
      <c r="I310" s="6"/>
      <c r="J310" s="6"/>
      <c r="K310" s="6"/>
      <c r="L310" s="6"/>
      <c r="M310" s="6"/>
      <c r="N310" s="6"/>
      <c r="O310" s="6"/>
    </row>
    <row r="311">
      <c r="B311" s="368"/>
      <c r="C311" s="368"/>
      <c r="D311" s="368"/>
      <c r="H311" s="6"/>
      <c r="I311" s="6"/>
      <c r="J311" s="6"/>
      <c r="K311" s="6"/>
      <c r="L311" s="6"/>
      <c r="M311" s="6"/>
      <c r="N311" s="6"/>
      <c r="O311" s="6"/>
    </row>
    <row r="312">
      <c r="B312" s="368"/>
      <c r="C312" s="368"/>
      <c r="D312" s="368"/>
      <c r="H312" s="6"/>
      <c r="I312" s="6"/>
      <c r="J312" s="6"/>
      <c r="K312" s="6"/>
      <c r="L312" s="6"/>
      <c r="M312" s="6"/>
      <c r="N312" s="6"/>
      <c r="O312" s="6"/>
    </row>
    <row r="313">
      <c r="B313" s="368"/>
      <c r="C313" s="368"/>
      <c r="D313" s="368"/>
      <c r="H313" s="6"/>
      <c r="I313" s="6"/>
      <c r="J313" s="6"/>
      <c r="K313" s="6"/>
      <c r="L313" s="6"/>
      <c r="M313" s="6"/>
      <c r="N313" s="6"/>
      <c r="O313" s="6"/>
    </row>
    <row r="314">
      <c r="B314" s="368"/>
      <c r="C314" s="368"/>
      <c r="D314" s="368"/>
      <c r="H314" s="6"/>
      <c r="I314" s="6"/>
      <c r="J314" s="6"/>
      <c r="K314" s="6"/>
      <c r="L314" s="6"/>
      <c r="M314" s="6"/>
      <c r="N314" s="6"/>
      <c r="O314" s="6"/>
    </row>
    <row r="315">
      <c r="B315" s="368"/>
      <c r="C315" s="368"/>
      <c r="D315" s="368"/>
      <c r="H315" s="6"/>
      <c r="I315" s="6"/>
      <c r="J315" s="6"/>
      <c r="K315" s="6"/>
      <c r="L315" s="6"/>
      <c r="M315" s="6"/>
      <c r="N315" s="6"/>
      <c r="O315" s="6"/>
    </row>
    <row r="316">
      <c r="B316" s="368"/>
      <c r="C316" s="368"/>
      <c r="D316" s="368"/>
      <c r="H316" s="6"/>
      <c r="I316" s="6"/>
      <c r="J316" s="6"/>
      <c r="K316" s="6"/>
      <c r="L316" s="6"/>
      <c r="M316" s="6"/>
      <c r="N316" s="6"/>
      <c r="O316" s="6"/>
    </row>
    <row r="317">
      <c r="B317" s="368"/>
      <c r="C317" s="368"/>
      <c r="D317" s="368"/>
      <c r="H317" s="6"/>
      <c r="I317" s="6"/>
      <c r="J317" s="6"/>
      <c r="K317" s="6"/>
      <c r="L317" s="6"/>
      <c r="M317" s="6"/>
      <c r="N317" s="6"/>
      <c r="O317" s="6"/>
    </row>
    <row r="318">
      <c r="B318" s="368"/>
      <c r="C318" s="368"/>
      <c r="D318" s="368"/>
      <c r="H318" s="6"/>
      <c r="I318" s="6"/>
      <c r="J318" s="6"/>
      <c r="K318" s="6"/>
      <c r="L318" s="6"/>
      <c r="M318" s="6"/>
      <c r="N318" s="6"/>
      <c r="O318" s="6"/>
    </row>
    <row r="319">
      <c r="B319" s="368"/>
      <c r="C319" s="368"/>
      <c r="D319" s="368"/>
      <c r="H319" s="6"/>
      <c r="I319" s="6"/>
      <c r="J319" s="6"/>
      <c r="K319" s="6"/>
      <c r="L319" s="6"/>
      <c r="M319" s="6"/>
      <c r="N319" s="6"/>
      <c r="O319" s="6"/>
    </row>
    <row r="320">
      <c r="B320" s="368"/>
      <c r="C320" s="368"/>
      <c r="D320" s="368"/>
      <c r="H320" s="6"/>
      <c r="I320" s="6"/>
      <c r="J320" s="6"/>
      <c r="K320" s="6"/>
      <c r="L320" s="6"/>
      <c r="M320" s="6"/>
      <c r="N320" s="6"/>
      <c r="O320" s="6"/>
    </row>
    <row r="321">
      <c r="B321" s="368"/>
      <c r="C321" s="368"/>
      <c r="D321" s="368"/>
      <c r="H321" s="6"/>
      <c r="I321" s="6"/>
      <c r="J321" s="6"/>
      <c r="K321" s="6"/>
      <c r="L321" s="6"/>
      <c r="M321" s="6"/>
      <c r="N321" s="6"/>
      <c r="O321" s="6"/>
    </row>
    <row r="322">
      <c r="B322" s="368"/>
      <c r="C322" s="368"/>
      <c r="D322" s="368"/>
      <c r="H322" s="6"/>
      <c r="I322" s="6"/>
      <c r="J322" s="6"/>
      <c r="K322" s="6"/>
      <c r="L322" s="6"/>
      <c r="M322" s="6"/>
      <c r="N322" s="6"/>
      <c r="O322" s="6"/>
    </row>
    <row r="323">
      <c r="B323" s="368"/>
      <c r="C323" s="368"/>
      <c r="D323" s="368"/>
      <c r="H323" s="6"/>
      <c r="I323" s="6"/>
      <c r="J323" s="6"/>
      <c r="K323" s="6"/>
      <c r="L323" s="6"/>
      <c r="M323" s="6"/>
      <c r="N323" s="6"/>
      <c r="O323" s="6"/>
    </row>
    <row r="324">
      <c r="B324" s="368"/>
      <c r="C324" s="368"/>
      <c r="D324" s="368"/>
      <c r="H324" s="6"/>
      <c r="I324" s="6"/>
      <c r="J324" s="6"/>
      <c r="K324" s="6"/>
      <c r="L324" s="6"/>
      <c r="M324" s="6"/>
      <c r="N324" s="6"/>
      <c r="O324" s="6"/>
    </row>
    <row r="325">
      <c r="B325" s="368"/>
      <c r="C325" s="368"/>
      <c r="D325" s="368"/>
      <c r="H325" s="6"/>
      <c r="I325" s="6"/>
      <c r="J325" s="6"/>
      <c r="K325" s="6"/>
      <c r="L325" s="6"/>
      <c r="M325" s="6"/>
      <c r="N325" s="6"/>
      <c r="O325" s="6"/>
    </row>
    <row r="326">
      <c r="B326" s="368"/>
      <c r="C326" s="368"/>
      <c r="D326" s="368"/>
      <c r="H326" s="6"/>
      <c r="I326" s="6"/>
      <c r="J326" s="6"/>
      <c r="K326" s="6"/>
      <c r="L326" s="6"/>
      <c r="M326" s="6"/>
      <c r="N326" s="6"/>
      <c r="O326" s="6"/>
    </row>
    <row r="327">
      <c r="B327" s="368"/>
      <c r="C327" s="368"/>
      <c r="D327" s="368"/>
      <c r="H327" s="6"/>
      <c r="I327" s="6"/>
      <c r="J327" s="6"/>
      <c r="K327" s="6"/>
      <c r="L327" s="6"/>
      <c r="M327" s="6"/>
      <c r="N327" s="6"/>
      <c r="O327" s="6"/>
    </row>
    <row r="328">
      <c r="B328" s="368"/>
      <c r="C328" s="368"/>
      <c r="D328" s="368"/>
      <c r="H328" s="6"/>
      <c r="I328" s="6"/>
      <c r="J328" s="6"/>
      <c r="K328" s="6"/>
      <c r="L328" s="6"/>
      <c r="M328" s="6"/>
      <c r="N328" s="6"/>
      <c r="O328" s="6"/>
    </row>
    <row r="329">
      <c r="B329" s="368"/>
      <c r="C329" s="368"/>
      <c r="D329" s="368"/>
      <c r="H329" s="6"/>
      <c r="I329" s="6"/>
      <c r="J329" s="6"/>
      <c r="K329" s="6"/>
      <c r="L329" s="6"/>
      <c r="M329" s="6"/>
      <c r="N329" s="6"/>
      <c r="O329" s="6"/>
    </row>
    <row r="330">
      <c r="B330" s="368"/>
      <c r="C330" s="368"/>
      <c r="D330" s="368"/>
      <c r="H330" s="6"/>
      <c r="I330" s="6"/>
      <c r="J330" s="6"/>
      <c r="K330" s="6"/>
      <c r="L330" s="6"/>
      <c r="M330" s="6"/>
      <c r="N330" s="6"/>
      <c r="O330" s="6"/>
    </row>
    <row r="331">
      <c r="B331" s="368"/>
      <c r="C331" s="368"/>
      <c r="D331" s="368"/>
      <c r="H331" s="6"/>
      <c r="I331" s="6"/>
      <c r="J331" s="6"/>
      <c r="K331" s="6"/>
      <c r="L331" s="6"/>
      <c r="M331" s="6"/>
      <c r="N331" s="6"/>
      <c r="O331" s="6"/>
    </row>
    <row r="332">
      <c r="B332" s="368"/>
      <c r="C332" s="368"/>
      <c r="D332" s="368"/>
      <c r="H332" s="6"/>
      <c r="I332" s="6"/>
      <c r="J332" s="6"/>
      <c r="K332" s="6"/>
      <c r="L332" s="6"/>
      <c r="M332" s="6"/>
      <c r="N332" s="6"/>
      <c r="O332" s="6"/>
    </row>
    <row r="333">
      <c r="B333" s="368"/>
      <c r="C333" s="368"/>
      <c r="D333" s="368"/>
      <c r="H333" s="6"/>
      <c r="I333" s="6"/>
      <c r="J333" s="6"/>
      <c r="K333" s="6"/>
      <c r="L333" s="6"/>
      <c r="M333" s="6"/>
      <c r="N333" s="6"/>
      <c r="O333" s="6"/>
    </row>
    <row r="334">
      <c r="B334" s="368"/>
      <c r="C334" s="368"/>
      <c r="D334" s="368"/>
      <c r="H334" s="6"/>
      <c r="I334" s="6"/>
      <c r="J334" s="6"/>
      <c r="K334" s="6"/>
      <c r="L334" s="6"/>
      <c r="M334" s="6"/>
      <c r="N334" s="6"/>
      <c r="O334" s="6"/>
    </row>
    <row r="335">
      <c r="B335" s="368"/>
      <c r="C335" s="368"/>
      <c r="D335" s="368"/>
      <c r="H335" s="6"/>
      <c r="I335" s="6"/>
      <c r="J335" s="6"/>
      <c r="K335" s="6"/>
      <c r="L335" s="6"/>
      <c r="M335" s="6"/>
      <c r="N335" s="6"/>
      <c r="O335" s="6"/>
    </row>
    <row r="336">
      <c r="B336" s="368"/>
      <c r="C336" s="368"/>
      <c r="D336" s="368"/>
      <c r="H336" s="6"/>
      <c r="I336" s="6"/>
      <c r="J336" s="6"/>
      <c r="K336" s="6"/>
      <c r="L336" s="6"/>
      <c r="M336" s="6"/>
      <c r="N336" s="6"/>
      <c r="O336" s="6"/>
    </row>
    <row r="337">
      <c r="B337" s="368"/>
      <c r="C337" s="368"/>
      <c r="D337" s="368"/>
      <c r="H337" s="6"/>
      <c r="I337" s="6"/>
      <c r="J337" s="6"/>
      <c r="K337" s="6"/>
      <c r="L337" s="6"/>
      <c r="M337" s="6"/>
      <c r="N337" s="6"/>
      <c r="O337" s="6"/>
    </row>
    <row r="338">
      <c r="B338" s="368"/>
      <c r="C338" s="368"/>
      <c r="D338" s="368"/>
      <c r="H338" s="6"/>
      <c r="I338" s="6"/>
      <c r="J338" s="6"/>
      <c r="K338" s="6"/>
      <c r="L338" s="6"/>
      <c r="M338" s="6"/>
      <c r="N338" s="6"/>
      <c r="O338" s="6"/>
    </row>
    <row r="339">
      <c r="B339" s="368"/>
      <c r="C339" s="368"/>
      <c r="D339" s="368"/>
      <c r="H339" s="6"/>
      <c r="I339" s="6"/>
      <c r="J339" s="6"/>
      <c r="K339" s="6"/>
      <c r="L339" s="6"/>
      <c r="M339" s="6"/>
      <c r="N339" s="6"/>
      <c r="O339" s="6"/>
    </row>
    <row r="340">
      <c r="B340" s="368"/>
      <c r="C340" s="368"/>
      <c r="D340" s="368"/>
      <c r="H340" s="6"/>
      <c r="I340" s="6"/>
      <c r="J340" s="6"/>
      <c r="K340" s="6"/>
      <c r="L340" s="6"/>
      <c r="M340" s="6"/>
      <c r="N340" s="6"/>
      <c r="O340" s="6"/>
    </row>
    <row r="341">
      <c r="B341" s="368"/>
      <c r="C341" s="368"/>
      <c r="D341" s="368"/>
      <c r="H341" s="6"/>
      <c r="I341" s="6"/>
      <c r="J341" s="6"/>
      <c r="K341" s="6"/>
      <c r="L341" s="6"/>
      <c r="M341" s="6"/>
      <c r="N341" s="6"/>
      <c r="O341" s="6"/>
    </row>
    <row r="342">
      <c r="B342" s="368"/>
      <c r="C342" s="368"/>
      <c r="D342" s="368"/>
      <c r="H342" s="6"/>
      <c r="I342" s="6"/>
      <c r="J342" s="6"/>
      <c r="K342" s="6"/>
      <c r="L342" s="6"/>
      <c r="M342" s="6"/>
      <c r="N342" s="6"/>
      <c r="O342" s="6"/>
    </row>
    <row r="343">
      <c r="B343" s="368"/>
      <c r="C343" s="368"/>
      <c r="D343" s="368"/>
      <c r="H343" s="6"/>
      <c r="I343" s="6"/>
      <c r="J343" s="6"/>
      <c r="K343" s="6"/>
      <c r="L343" s="6"/>
      <c r="M343" s="6"/>
      <c r="N343" s="6"/>
      <c r="O343" s="6"/>
    </row>
    <row r="344">
      <c r="B344" s="368"/>
      <c r="C344" s="368"/>
      <c r="D344" s="368"/>
      <c r="H344" s="6"/>
      <c r="I344" s="6"/>
      <c r="J344" s="6"/>
      <c r="K344" s="6"/>
      <c r="L344" s="6"/>
      <c r="M344" s="6"/>
      <c r="N344" s="6"/>
      <c r="O344" s="6"/>
    </row>
    <row r="345">
      <c r="B345" s="368"/>
      <c r="C345" s="368"/>
      <c r="D345" s="368"/>
      <c r="H345" s="6"/>
      <c r="I345" s="6"/>
      <c r="J345" s="6"/>
      <c r="K345" s="6"/>
      <c r="L345" s="6"/>
      <c r="M345" s="6"/>
      <c r="N345" s="6"/>
      <c r="O345" s="6"/>
    </row>
    <row r="346">
      <c r="B346" s="368"/>
      <c r="C346" s="368"/>
      <c r="D346" s="368"/>
      <c r="H346" s="6"/>
      <c r="I346" s="6"/>
      <c r="J346" s="6"/>
      <c r="K346" s="6"/>
      <c r="L346" s="6"/>
      <c r="M346" s="6"/>
      <c r="N346" s="6"/>
      <c r="O346" s="6"/>
    </row>
    <row r="347">
      <c r="B347" s="368"/>
      <c r="C347" s="368"/>
      <c r="D347" s="368"/>
      <c r="H347" s="6"/>
      <c r="I347" s="6"/>
      <c r="J347" s="6"/>
      <c r="K347" s="6"/>
      <c r="L347" s="6"/>
      <c r="M347" s="6"/>
      <c r="N347" s="6"/>
      <c r="O347" s="6"/>
    </row>
    <row r="348">
      <c r="B348" s="368"/>
      <c r="C348" s="368"/>
      <c r="D348" s="368"/>
      <c r="H348" s="6"/>
      <c r="I348" s="6"/>
      <c r="J348" s="6"/>
      <c r="K348" s="6"/>
      <c r="L348" s="6"/>
      <c r="M348" s="6"/>
      <c r="N348" s="6"/>
      <c r="O348" s="6"/>
    </row>
    <row r="349">
      <c r="B349" s="368"/>
      <c r="C349" s="368"/>
      <c r="D349" s="368"/>
      <c r="H349" s="6"/>
      <c r="I349" s="6"/>
      <c r="J349" s="6"/>
      <c r="K349" s="6"/>
      <c r="L349" s="6"/>
      <c r="M349" s="6"/>
      <c r="N349" s="6"/>
      <c r="O349" s="6"/>
    </row>
    <row r="350">
      <c r="B350" s="368"/>
      <c r="C350" s="368"/>
      <c r="D350" s="368"/>
      <c r="H350" s="6"/>
      <c r="I350" s="6"/>
      <c r="J350" s="6"/>
      <c r="K350" s="6"/>
      <c r="L350" s="6"/>
      <c r="M350" s="6"/>
      <c r="N350" s="6"/>
      <c r="O350" s="6"/>
    </row>
    <row r="351">
      <c r="B351" s="368"/>
      <c r="C351" s="368"/>
      <c r="D351" s="368"/>
      <c r="H351" s="6"/>
      <c r="I351" s="6"/>
      <c r="J351" s="6"/>
      <c r="K351" s="6"/>
      <c r="L351" s="6"/>
      <c r="M351" s="6"/>
      <c r="N351" s="6"/>
      <c r="O351" s="6"/>
    </row>
    <row r="352">
      <c r="B352" s="368"/>
      <c r="C352" s="368"/>
      <c r="D352" s="368"/>
      <c r="H352" s="6"/>
      <c r="I352" s="6"/>
      <c r="J352" s="6"/>
      <c r="K352" s="6"/>
      <c r="L352" s="6"/>
      <c r="M352" s="6"/>
      <c r="N352" s="6"/>
      <c r="O352" s="6"/>
    </row>
    <row r="353">
      <c r="B353" s="368"/>
      <c r="C353" s="368"/>
      <c r="D353" s="368"/>
      <c r="H353" s="6"/>
      <c r="I353" s="6"/>
      <c r="J353" s="6"/>
      <c r="K353" s="6"/>
      <c r="L353" s="6"/>
      <c r="M353" s="6"/>
      <c r="N353" s="6"/>
      <c r="O353" s="6"/>
    </row>
    <row r="354">
      <c r="B354" s="368"/>
      <c r="C354" s="368"/>
      <c r="D354" s="368"/>
      <c r="H354" s="6"/>
      <c r="I354" s="6"/>
      <c r="J354" s="6"/>
      <c r="K354" s="6"/>
      <c r="L354" s="6"/>
      <c r="M354" s="6"/>
      <c r="N354" s="6"/>
      <c r="O354" s="6"/>
    </row>
    <row r="355">
      <c r="B355" s="368"/>
      <c r="C355" s="368"/>
      <c r="D355" s="368"/>
      <c r="H355" s="6"/>
      <c r="I355" s="6"/>
      <c r="J355" s="6"/>
      <c r="K355" s="6"/>
      <c r="L355" s="6"/>
      <c r="M355" s="6"/>
      <c r="N355" s="6"/>
      <c r="O355" s="6"/>
    </row>
    <row r="356">
      <c r="B356" s="368"/>
      <c r="C356" s="368"/>
      <c r="D356" s="368"/>
      <c r="H356" s="6"/>
      <c r="I356" s="6"/>
      <c r="J356" s="6"/>
      <c r="K356" s="6"/>
      <c r="L356" s="6"/>
      <c r="M356" s="6"/>
      <c r="N356" s="6"/>
      <c r="O356" s="6"/>
    </row>
    <row r="357">
      <c r="B357" s="368"/>
      <c r="C357" s="368"/>
      <c r="D357" s="368"/>
      <c r="H357" s="6"/>
      <c r="I357" s="6"/>
      <c r="J357" s="6"/>
      <c r="K357" s="6"/>
      <c r="L357" s="6"/>
      <c r="M357" s="6"/>
      <c r="N357" s="6"/>
      <c r="O357" s="6"/>
    </row>
    <row r="358">
      <c r="B358" s="368"/>
      <c r="C358" s="368"/>
      <c r="D358" s="368"/>
      <c r="H358" s="6"/>
      <c r="I358" s="6"/>
      <c r="J358" s="6"/>
      <c r="K358" s="6"/>
      <c r="L358" s="6"/>
      <c r="M358" s="6"/>
      <c r="N358" s="6"/>
      <c r="O358" s="6"/>
    </row>
    <row r="359">
      <c r="B359" s="368"/>
      <c r="C359" s="368"/>
      <c r="D359" s="368"/>
      <c r="H359" s="6"/>
      <c r="I359" s="6"/>
      <c r="J359" s="6"/>
      <c r="K359" s="6"/>
      <c r="L359" s="6"/>
      <c r="M359" s="6"/>
      <c r="N359" s="6"/>
      <c r="O359" s="6"/>
    </row>
    <row r="360">
      <c r="B360" s="368"/>
      <c r="C360" s="368"/>
      <c r="D360" s="368"/>
      <c r="H360" s="6"/>
      <c r="I360" s="6"/>
      <c r="J360" s="6"/>
      <c r="K360" s="6"/>
      <c r="L360" s="6"/>
      <c r="M360" s="6"/>
      <c r="N360" s="6"/>
      <c r="O360" s="6"/>
    </row>
    <row r="361">
      <c r="B361" s="368"/>
      <c r="C361" s="368"/>
      <c r="D361" s="368"/>
      <c r="H361" s="6"/>
      <c r="I361" s="6"/>
      <c r="J361" s="6"/>
      <c r="K361" s="6"/>
      <c r="L361" s="6"/>
      <c r="M361" s="6"/>
      <c r="N361" s="6"/>
      <c r="O361" s="6"/>
    </row>
    <row r="362">
      <c r="B362" s="368"/>
      <c r="C362" s="368"/>
      <c r="D362" s="368"/>
      <c r="H362" s="6"/>
      <c r="I362" s="6"/>
      <c r="J362" s="6"/>
      <c r="K362" s="6"/>
      <c r="L362" s="6"/>
      <c r="M362" s="6"/>
      <c r="N362" s="6"/>
      <c r="O362" s="6"/>
    </row>
    <row r="363">
      <c r="B363" s="368"/>
      <c r="C363" s="368"/>
      <c r="D363" s="368"/>
      <c r="H363" s="6"/>
      <c r="I363" s="6"/>
      <c r="J363" s="6"/>
      <c r="K363" s="6"/>
      <c r="L363" s="6"/>
      <c r="M363" s="6"/>
      <c r="N363" s="6"/>
      <c r="O363" s="6"/>
    </row>
    <row r="364">
      <c r="B364" s="368"/>
      <c r="C364" s="368"/>
      <c r="D364" s="368"/>
      <c r="H364" s="6"/>
      <c r="I364" s="6"/>
      <c r="J364" s="6"/>
      <c r="K364" s="6"/>
      <c r="L364" s="6"/>
      <c r="M364" s="6"/>
      <c r="N364" s="6"/>
      <c r="O364" s="6"/>
    </row>
    <row r="365">
      <c r="B365" s="368"/>
      <c r="C365" s="368"/>
      <c r="D365" s="368"/>
      <c r="H365" s="6"/>
      <c r="I365" s="6"/>
      <c r="J365" s="6"/>
      <c r="K365" s="6"/>
      <c r="L365" s="6"/>
      <c r="M365" s="6"/>
      <c r="N365" s="6"/>
      <c r="O365" s="6"/>
    </row>
    <row r="366">
      <c r="B366" s="368"/>
      <c r="C366" s="368"/>
      <c r="D366" s="368"/>
      <c r="H366" s="6"/>
      <c r="I366" s="6"/>
      <c r="J366" s="6"/>
      <c r="K366" s="6"/>
      <c r="L366" s="6"/>
      <c r="M366" s="6"/>
      <c r="N366" s="6"/>
      <c r="O366" s="6"/>
    </row>
    <row r="367">
      <c r="B367" s="368"/>
      <c r="C367" s="368"/>
      <c r="D367" s="368"/>
      <c r="H367" s="6"/>
      <c r="I367" s="6"/>
      <c r="J367" s="6"/>
      <c r="K367" s="6"/>
      <c r="L367" s="6"/>
      <c r="M367" s="6"/>
      <c r="N367" s="6"/>
      <c r="O367" s="6"/>
    </row>
    <row r="368">
      <c r="B368" s="368"/>
      <c r="C368" s="368"/>
      <c r="D368" s="368"/>
      <c r="H368" s="6"/>
      <c r="I368" s="6"/>
      <c r="J368" s="6"/>
      <c r="K368" s="6"/>
      <c r="L368" s="6"/>
      <c r="M368" s="6"/>
      <c r="N368" s="6"/>
      <c r="O368" s="6"/>
    </row>
    <row r="369">
      <c r="B369" s="368"/>
      <c r="C369" s="368"/>
      <c r="D369" s="368"/>
      <c r="H369" s="6"/>
      <c r="I369" s="6"/>
      <c r="J369" s="6"/>
      <c r="K369" s="6"/>
      <c r="L369" s="6"/>
      <c r="M369" s="6"/>
      <c r="N369" s="6"/>
      <c r="O369" s="6"/>
    </row>
    <row r="370">
      <c r="B370" s="368"/>
      <c r="C370" s="368"/>
      <c r="D370" s="368"/>
      <c r="H370" s="6"/>
      <c r="I370" s="6"/>
      <c r="J370" s="6"/>
      <c r="K370" s="6"/>
      <c r="L370" s="6"/>
      <c r="M370" s="6"/>
      <c r="N370" s="6"/>
      <c r="O370" s="6"/>
    </row>
    <row r="371">
      <c r="B371" s="368"/>
      <c r="C371" s="368"/>
      <c r="D371" s="368"/>
      <c r="H371" s="6"/>
      <c r="I371" s="6"/>
      <c r="J371" s="6"/>
      <c r="K371" s="6"/>
      <c r="L371" s="6"/>
      <c r="M371" s="6"/>
      <c r="N371" s="6"/>
      <c r="O371" s="6"/>
    </row>
    <row r="372">
      <c r="B372" s="368"/>
      <c r="C372" s="368"/>
      <c r="D372" s="368"/>
      <c r="H372" s="6"/>
      <c r="I372" s="6"/>
      <c r="J372" s="6"/>
      <c r="K372" s="6"/>
      <c r="L372" s="6"/>
      <c r="M372" s="6"/>
      <c r="N372" s="6"/>
      <c r="O372" s="6"/>
    </row>
    <row r="373">
      <c r="B373" s="368"/>
      <c r="C373" s="368"/>
      <c r="D373" s="368"/>
      <c r="H373" s="6"/>
      <c r="I373" s="6"/>
      <c r="J373" s="6"/>
      <c r="K373" s="6"/>
      <c r="L373" s="6"/>
      <c r="M373" s="6"/>
      <c r="N373" s="6"/>
      <c r="O373" s="6"/>
    </row>
    <row r="374">
      <c r="B374" s="368"/>
      <c r="C374" s="368"/>
      <c r="D374" s="368"/>
      <c r="H374" s="6"/>
      <c r="I374" s="6"/>
      <c r="J374" s="6"/>
      <c r="K374" s="6"/>
      <c r="L374" s="6"/>
      <c r="M374" s="6"/>
      <c r="N374" s="6"/>
      <c r="O374" s="6"/>
    </row>
    <row r="375">
      <c r="B375" s="368"/>
      <c r="C375" s="368"/>
      <c r="D375" s="368"/>
      <c r="H375" s="6"/>
      <c r="I375" s="6"/>
      <c r="J375" s="6"/>
      <c r="K375" s="6"/>
      <c r="L375" s="6"/>
      <c r="M375" s="6"/>
      <c r="N375" s="6"/>
      <c r="O375" s="6"/>
    </row>
    <row r="376">
      <c r="B376" s="368"/>
      <c r="C376" s="368"/>
      <c r="D376" s="368"/>
      <c r="H376" s="6"/>
      <c r="I376" s="6"/>
      <c r="J376" s="6"/>
      <c r="K376" s="6"/>
      <c r="L376" s="6"/>
      <c r="M376" s="6"/>
      <c r="N376" s="6"/>
      <c r="O376" s="6"/>
    </row>
    <row r="377">
      <c r="B377" s="368"/>
      <c r="C377" s="368"/>
      <c r="D377" s="368"/>
      <c r="H377" s="6"/>
      <c r="I377" s="6"/>
      <c r="J377" s="6"/>
      <c r="K377" s="6"/>
      <c r="L377" s="6"/>
      <c r="M377" s="6"/>
      <c r="N377" s="6"/>
      <c r="O377" s="6"/>
    </row>
    <row r="378">
      <c r="B378" s="368"/>
      <c r="C378" s="368"/>
      <c r="D378" s="368"/>
      <c r="H378" s="6"/>
      <c r="I378" s="6"/>
      <c r="J378" s="6"/>
      <c r="K378" s="6"/>
      <c r="L378" s="6"/>
      <c r="M378" s="6"/>
      <c r="N378" s="6"/>
      <c r="O378" s="6"/>
    </row>
    <row r="379">
      <c r="B379" s="368"/>
      <c r="C379" s="368"/>
      <c r="D379" s="368"/>
      <c r="H379" s="6"/>
      <c r="I379" s="6"/>
      <c r="J379" s="6"/>
      <c r="K379" s="6"/>
      <c r="L379" s="6"/>
      <c r="M379" s="6"/>
      <c r="N379" s="6"/>
      <c r="O379" s="6"/>
    </row>
    <row r="380">
      <c r="B380" s="368"/>
      <c r="C380" s="368"/>
      <c r="D380" s="368"/>
      <c r="H380" s="6"/>
      <c r="I380" s="6"/>
      <c r="J380" s="6"/>
      <c r="K380" s="6"/>
      <c r="L380" s="6"/>
      <c r="M380" s="6"/>
      <c r="N380" s="6"/>
      <c r="O380" s="6"/>
    </row>
    <row r="381">
      <c r="B381" s="368"/>
      <c r="C381" s="368"/>
      <c r="D381" s="368"/>
      <c r="H381" s="6"/>
      <c r="I381" s="6"/>
      <c r="J381" s="6"/>
      <c r="K381" s="6"/>
      <c r="L381" s="6"/>
      <c r="M381" s="6"/>
      <c r="N381" s="6"/>
      <c r="O381" s="6"/>
    </row>
    <row r="382">
      <c r="B382" s="368"/>
      <c r="C382" s="368"/>
      <c r="D382" s="368"/>
      <c r="H382" s="6"/>
      <c r="I382" s="6"/>
      <c r="J382" s="6"/>
      <c r="K382" s="6"/>
      <c r="L382" s="6"/>
      <c r="M382" s="6"/>
      <c r="N382" s="6"/>
      <c r="O382" s="6"/>
    </row>
    <row r="383">
      <c r="B383" s="368"/>
      <c r="C383" s="368"/>
      <c r="D383" s="368"/>
      <c r="H383" s="6"/>
      <c r="I383" s="6"/>
      <c r="J383" s="6"/>
      <c r="K383" s="6"/>
      <c r="L383" s="6"/>
      <c r="M383" s="6"/>
      <c r="N383" s="6"/>
      <c r="O383" s="6"/>
    </row>
    <row r="384">
      <c r="B384" s="368"/>
      <c r="C384" s="368"/>
      <c r="D384" s="368"/>
      <c r="H384" s="6"/>
      <c r="I384" s="6"/>
      <c r="J384" s="6"/>
      <c r="K384" s="6"/>
      <c r="L384" s="6"/>
      <c r="M384" s="6"/>
      <c r="N384" s="6"/>
      <c r="O384" s="6"/>
    </row>
    <row r="385">
      <c r="B385" s="368"/>
      <c r="C385" s="368"/>
      <c r="D385" s="368"/>
      <c r="H385" s="6"/>
      <c r="I385" s="6"/>
      <c r="J385" s="6"/>
      <c r="K385" s="6"/>
      <c r="L385" s="6"/>
      <c r="M385" s="6"/>
      <c r="N385" s="6"/>
      <c r="O385" s="6"/>
    </row>
    <row r="386">
      <c r="B386" s="368"/>
      <c r="C386" s="368"/>
      <c r="D386" s="368"/>
      <c r="H386" s="6"/>
      <c r="I386" s="6"/>
      <c r="J386" s="6"/>
      <c r="K386" s="6"/>
      <c r="L386" s="6"/>
      <c r="M386" s="6"/>
      <c r="N386" s="6"/>
      <c r="O386" s="6"/>
    </row>
    <row r="387">
      <c r="B387" s="368"/>
      <c r="C387" s="368"/>
      <c r="D387" s="368"/>
      <c r="H387" s="6"/>
      <c r="I387" s="6"/>
      <c r="J387" s="6"/>
      <c r="K387" s="6"/>
      <c r="L387" s="6"/>
      <c r="M387" s="6"/>
      <c r="N387" s="6"/>
      <c r="O387" s="6"/>
    </row>
    <row r="388">
      <c r="B388" s="368"/>
      <c r="C388" s="368"/>
      <c r="D388" s="368"/>
      <c r="H388" s="6"/>
      <c r="I388" s="6"/>
      <c r="J388" s="6"/>
      <c r="K388" s="6"/>
      <c r="L388" s="6"/>
      <c r="M388" s="6"/>
      <c r="N388" s="6"/>
      <c r="O388" s="6"/>
    </row>
    <row r="389">
      <c r="B389" s="368"/>
      <c r="C389" s="368"/>
      <c r="D389" s="368"/>
      <c r="H389" s="6"/>
      <c r="I389" s="6"/>
      <c r="J389" s="6"/>
      <c r="K389" s="6"/>
      <c r="L389" s="6"/>
      <c r="M389" s="6"/>
      <c r="N389" s="6"/>
      <c r="O389" s="6"/>
    </row>
    <row r="390">
      <c r="B390" s="368"/>
      <c r="C390" s="368"/>
      <c r="D390" s="368"/>
      <c r="H390" s="6"/>
      <c r="I390" s="6"/>
      <c r="J390" s="6"/>
      <c r="K390" s="6"/>
      <c r="L390" s="6"/>
      <c r="M390" s="6"/>
      <c r="N390" s="6"/>
      <c r="O390" s="6"/>
    </row>
    <row r="391">
      <c r="B391" s="368"/>
      <c r="C391" s="368"/>
      <c r="D391" s="368"/>
      <c r="H391" s="6"/>
      <c r="I391" s="6"/>
      <c r="J391" s="6"/>
      <c r="K391" s="6"/>
      <c r="L391" s="6"/>
      <c r="M391" s="6"/>
      <c r="N391" s="6"/>
      <c r="O391" s="6"/>
    </row>
    <row r="392">
      <c r="B392" s="368"/>
      <c r="C392" s="368"/>
      <c r="D392" s="368"/>
      <c r="H392" s="6"/>
      <c r="I392" s="6"/>
      <c r="J392" s="6"/>
      <c r="K392" s="6"/>
      <c r="L392" s="6"/>
      <c r="M392" s="6"/>
      <c r="N392" s="6"/>
      <c r="O392" s="6"/>
    </row>
    <row r="393">
      <c r="B393" s="368"/>
      <c r="C393" s="368"/>
      <c r="D393" s="368"/>
      <c r="H393" s="6"/>
      <c r="I393" s="6"/>
      <c r="J393" s="6"/>
      <c r="K393" s="6"/>
      <c r="L393" s="6"/>
      <c r="M393" s="6"/>
      <c r="N393" s="6"/>
      <c r="O393" s="6"/>
    </row>
    <row r="394">
      <c r="B394" s="368"/>
      <c r="C394" s="368"/>
      <c r="D394" s="368"/>
      <c r="H394" s="6"/>
      <c r="I394" s="6"/>
      <c r="J394" s="6"/>
      <c r="K394" s="6"/>
      <c r="L394" s="6"/>
      <c r="M394" s="6"/>
      <c r="N394" s="6"/>
      <c r="O394" s="6"/>
    </row>
    <row r="395">
      <c r="B395" s="368"/>
      <c r="C395" s="368"/>
      <c r="D395" s="368"/>
      <c r="H395" s="6"/>
      <c r="I395" s="6"/>
      <c r="J395" s="6"/>
      <c r="K395" s="6"/>
      <c r="L395" s="6"/>
      <c r="M395" s="6"/>
      <c r="N395" s="6"/>
      <c r="O395" s="6"/>
    </row>
    <row r="396">
      <c r="B396" s="368"/>
      <c r="C396" s="368"/>
      <c r="D396" s="368"/>
      <c r="H396" s="6"/>
      <c r="I396" s="6"/>
      <c r="J396" s="6"/>
      <c r="K396" s="6"/>
      <c r="L396" s="6"/>
      <c r="M396" s="6"/>
      <c r="N396" s="6"/>
      <c r="O396" s="6"/>
    </row>
    <row r="397">
      <c r="B397" s="368"/>
      <c r="C397" s="368"/>
      <c r="D397" s="368"/>
      <c r="H397" s="6"/>
      <c r="I397" s="6"/>
      <c r="J397" s="6"/>
      <c r="K397" s="6"/>
      <c r="L397" s="6"/>
      <c r="M397" s="6"/>
      <c r="N397" s="6"/>
      <c r="O397" s="6"/>
    </row>
    <row r="398">
      <c r="B398" s="368"/>
      <c r="C398" s="368"/>
      <c r="D398" s="368"/>
      <c r="H398" s="6"/>
      <c r="I398" s="6"/>
      <c r="J398" s="6"/>
      <c r="K398" s="6"/>
      <c r="L398" s="6"/>
      <c r="M398" s="6"/>
      <c r="N398" s="6"/>
      <c r="O398" s="6"/>
    </row>
    <row r="399">
      <c r="B399" s="368"/>
      <c r="C399" s="368"/>
      <c r="D399" s="368"/>
      <c r="H399" s="6"/>
      <c r="I399" s="6"/>
      <c r="J399" s="6"/>
      <c r="K399" s="6"/>
      <c r="L399" s="6"/>
      <c r="M399" s="6"/>
      <c r="N399" s="6"/>
      <c r="O399" s="6"/>
    </row>
    <row r="400">
      <c r="B400" s="368"/>
      <c r="C400" s="368"/>
      <c r="D400" s="368"/>
      <c r="H400" s="6"/>
      <c r="I400" s="6"/>
      <c r="J400" s="6"/>
      <c r="K400" s="6"/>
      <c r="L400" s="6"/>
      <c r="M400" s="6"/>
      <c r="N400" s="6"/>
      <c r="O400" s="6"/>
    </row>
    <row r="401">
      <c r="B401" s="368"/>
      <c r="C401" s="368"/>
      <c r="D401" s="368"/>
      <c r="H401" s="6"/>
      <c r="I401" s="6"/>
      <c r="J401" s="6"/>
      <c r="K401" s="6"/>
      <c r="L401" s="6"/>
      <c r="M401" s="6"/>
      <c r="N401" s="6"/>
      <c r="O401" s="6"/>
    </row>
    <row r="402">
      <c r="B402" s="368"/>
      <c r="C402" s="368"/>
      <c r="D402" s="368"/>
      <c r="H402" s="6"/>
      <c r="I402" s="6"/>
      <c r="J402" s="6"/>
      <c r="K402" s="6"/>
      <c r="L402" s="6"/>
      <c r="M402" s="6"/>
      <c r="N402" s="6"/>
      <c r="O402" s="6"/>
    </row>
    <row r="403">
      <c r="B403" s="368"/>
      <c r="C403" s="368"/>
      <c r="D403" s="368"/>
      <c r="H403" s="6"/>
      <c r="I403" s="6"/>
      <c r="J403" s="6"/>
      <c r="K403" s="6"/>
      <c r="L403" s="6"/>
      <c r="M403" s="6"/>
      <c r="N403" s="6"/>
      <c r="O403" s="6"/>
    </row>
    <row r="404">
      <c r="B404" s="368"/>
      <c r="C404" s="368"/>
      <c r="D404" s="368"/>
      <c r="H404" s="6"/>
      <c r="I404" s="6"/>
      <c r="J404" s="6"/>
      <c r="K404" s="6"/>
      <c r="L404" s="6"/>
      <c r="M404" s="6"/>
      <c r="N404" s="6"/>
      <c r="O404" s="6"/>
    </row>
    <row r="405">
      <c r="B405" s="368"/>
      <c r="C405" s="368"/>
      <c r="D405" s="368"/>
      <c r="H405" s="6"/>
      <c r="I405" s="6"/>
      <c r="J405" s="6"/>
      <c r="K405" s="6"/>
      <c r="L405" s="6"/>
      <c r="M405" s="6"/>
      <c r="N405" s="6"/>
      <c r="O405" s="6"/>
    </row>
    <row r="406">
      <c r="B406" s="368"/>
      <c r="C406" s="368"/>
      <c r="D406" s="368"/>
      <c r="H406" s="6"/>
      <c r="I406" s="6"/>
      <c r="J406" s="6"/>
      <c r="K406" s="6"/>
      <c r="L406" s="6"/>
      <c r="M406" s="6"/>
      <c r="N406" s="6"/>
      <c r="O406" s="6"/>
    </row>
    <row r="407">
      <c r="B407" s="368"/>
      <c r="C407" s="368"/>
      <c r="D407" s="368"/>
      <c r="H407" s="6"/>
      <c r="I407" s="6"/>
      <c r="J407" s="6"/>
      <c r="K407" s="6"/>
      <c r="L407" s="6"/>
      <c r="M407" s="6"/>
      <c r="N407" s="6"/>
      <c r="O407" s="6"/>
    </row>
    <row r="408">
      <c r="B408" s="368"/>
      <c r="C408" s="368"/>
      <c r="D408" s="368"/>
      <c r="H408" s="6"/>
      <c r="I408" s="6"/>
      <c r="J408" s="6"/>
      <c r="K408" s="6"/>
      <c r="L408" s="6"/>
      <c r="M408" s="6"/>
      <c r="N408" s="6"/>
      <c r="O408" s="6"/>
    </row>
    <row r="409">
      <c r="B409" s="368"/>
      <c r="C409" s="368"/>
      <c r="D409" s="368"/>
      <c r="H409" s="6"/>
      <c r="I409" s="6"/>
      <c r="J409" s="6"/>
      <c r="K409" s="6"/>
      <c r="L409" s="6"/>
      <c r="M409" s="6"/>
      <c r="N409" s="6"/>
      <c r="O409" s="6"/>
    </row>
    <row r="410">
      <c r="B410" s="368"/>
      <c r="C410" s="368"/>
      <c r="D410" s="368"/>
      <c r="H410" s="6"/>
      <c r="I410" s="6"/>
      <c r="J410" s="6"/>
      <c r="K410" s="6"/>
      <c r="L410" s="6"/>
      <c r="M410" s="6"/>
      <c r="N410" s="6"/>
      <c r="O410" s="6"/>
    </row>
    <row r="411">
      <c r="B411" s="368"/>
      <c r="C411" s="368"/>
      <c r="D411" s="368"/>
      <c r="H411" s="6"/>
      <c r="I411" s="6"/>
      <c r="J411" s="6"/>
      <c r="K411" s="6"/>
      <c r="L411" s="6"/>
      <c r="M411" s="6"/>
      <c r="N411" s="6"/>
      <c r="O411" s="6"/>
    </row>
    <row r="412">
      <c r="B412" s="368"/>
      <c r="C412" s="368"/>
      <c r="D412" s="368"/>
      <c r="H412" s="6"/>
      <c r="I412" s="6"/>
      <c r="J412" s="6"/>
      <c r="K412" s="6"/>
      <c r="L412" s="6"/>
      <c r="M412" s="6"/>
      <c r="N412" s="6"/>
      <c r="O412" s="6"/>
    </row>
    <row r="413">
      <c r="B413" s="368"/>
      <c r="C413" s="368"/>
      <c r="D413" s="368"/>
      <c r="H413" s="6"/>
      <c r="I413" s="6"/>
      <c r="J413" s="6"/>
      <c r="K413" s="6"/>
      <c r="L413" s="6"/>
      <c r="M413" s="6"/>
      <c r="N413" s="6"/>
      <c r="O413" s="6"/>
    </row>
    <row r="414">
      <c r="B414" s="368"/>
      <c r="C414" s="368"/>
      <c r="D414" s="368"/>
      <c r="H414" s="6"/>
      <c r="I414" s="6"/>
      <c r="J414" s="6"/>
      <c r="K414" s="6"/>
      <c r="L414" s="6"/>
      <c r="M414" s="6"/>
      <c r="N414" s="6"/>
      <c r="O414" s="6"/>
    </row>
    <row r="415">
      <c r="B415" s="368"/>
      <c r="C415" s="368"/>
      <c r="D415" s="368"/>
      <c r="H415" s="6"/>
      <c r="I415" s="6"/>
      <c r="J415" s="6"/>
      <c r="K415" s="6"/>
      <c r="L415" s="6"/>
      <c r="M415" s="6"/>
      <c r="N415" s="6"/>
      <c r="O415" s="6"/>
    </row>
    <row r="416">
      <c r="B416" s="368"/>
      <c r="C416" s="368"/>
      <c r="D416" s="368"/>
      <c r="H416" s="6"/>
      <c r="I416" s="6"/>
      <c r="J416" s="6"/>
      <c r="K416" s="6"/>
      <c r="L416" s="6"/>
      <c r="M416" s="6"/>
      <c r="N416" s="6"/>
      <c r="O416" s="6"/>
    </row>
    <row r="417">
      <c r="B417" s="368"/>
      <c r="C417" s="368"/>
      <c r="D417" s="368"/>
      <c r="H417" s="6"/>
      <c r="I417" s="6"/>
      <c r="J417" s="6"/>
      <c r="K417" s="6"/>
      <c r="L417" s="6"/>
      <c r="M417" s="6"/>
      <c r="N417" s="6"/>
      <c r="O417" s="6"/>
    </row>
    <row r="418">
      <c r="B418" s="368"/>
      <c r="C418" s="368"/>
      <c r="D418" s="368"/>
      <c r="H418" s="6"/>
      <c r="I418" s="6"/>
      <c r="J418" s="6"/>
      <c r="K418" s="6"/>
      <c r="L418" s="6"/>
      <c r="M418" s="6"/>
      <c r="N418" s="6"/>
      <c r="O418" s="6"/>
    </row>
    <row r="419">
      <c r="B419" s="368"/>
      <c r="C419" s="368"/>
      <c r="D419" s="368"/>
      <c r="H419" s="6"/>
      <c r="I419" s="6"/>
      <c r="J419" s="6"/>
      <c r="K419" s="6"/>
      <c r="L419" s="6"/>
      <c r="M419" s="6"/>
      <c r="N419" s="6"/>
      <c r="O419" s="6"/>
    </row>
    <row r="420">
      <c r="B420" s="368"/>
      <c r="C420" s="368"/>
      <c r="D420" s="368"/>
      <c r="H420" s="6"/>
      <c r="I420" s="6"/>
      <c r="J420" s="6"/>
      <c r="K420" s="6"/>
      <c r="L420" s="6"/>
      <c r="M420" s="6"/>
      <c r="N420" s="6"/>
      <c r="O420" s="6"/>
    </row>
    <row r="421">
      <c r="B421" s="368"/>
      <c r="C421" s="368"/>
      <c r="D421" s="368"/>
      <c r="H421" s="6"/>
      <c r="I421" s="6"/>
      <c r="J421" s="6"/>
      <c r="K421" s="6"/>
      <c r="L421" s="6"/>
      <c r="M421" s="6"/>
      <c r="N421" s="6"/>
      <c r="O421" s="6"/>
    </row>
    <row r="422">
      <c r="B422" s="368"/>
      <c r="C422" s="368"/>
      <c r="D422" s="368"/>
      <c r="H422" s="6"/>
      <c r="I422" s="6"/>
      <c r="J422" s="6"/>
      <c r="K422" s="6"/>
      <c r="L422" s="6"/>
      <c r="M422" s="6"/>
      <c r="N422" s="6"/>
      <c r="O422" s="6"/>
    </row>
    <row r="423">
      <c r="B423" s="368"/>
      <c r="C423" s="368"/>
      <c r="D423" s="368"/>
      <c r="H423" s="6"/>
      <c r="I423" s="6"/>
      <c r="J423" s="6"/>
      <c r="K423" s="6"/>
      <c r="L423" s="6"/>
      <c r="M423" s="6"/>
      <c r="N423" s="6"/>
      <c r="O423" s="6"/>
    </row>
    <row r="424">
      <c r="B424" s="368"/>
      <c r="C424" s="368"/>
      <c r="D424" s="368"/>
      <c r="H424" s="6"/>
      <c r="I424" s="6"/>
      <c r="J424" s="6"/>
      <c r="K424" s="6"/>
      <c r="L424" s="6"/>
      <c r="M424" s="6"/>
      <c r="N424" s="6"/>
      <c r="O424" s="6"/>
    </row>
    <row r="425">
      <c r="B425" s="368"/>
      <c r="C425" s="368"/>
      <c r="D425" s="368"/>
      <c r="H425" s="6"/>
      <c r="I425" s="6"/>
      <c r="J425" s="6"/>
      <c r="K425" s="6"/>
      <c r="L425" s="6"/>
      <c r="M425" s="6"/>
      <c r="N425" s="6"/>
      <c r="O425" s="6"/>
    </row>
    <row r="426">
      <c r="B426" s="368"/>
      <c r="C426" s="368"/>
      <c r="D426" s="368"/>
      <c r="H426" s="6"/>
      <c r="I426" s="6"/>
      <c r="J426" s="6"/>
      <c r="K426" s="6"/>
      <c r="L426" s="6"/>
      <c r="M426" s="6"/>
      <c r="N426" s="6"/>
      <c r="O426" s="6"/>
    </row>
    <row r="427">
      <c r="B427" s="368"/>
      <c r="C427" s="368"/>
      <c r="D427" s="368"/>
      <c r="H427" s="6"/>
      <c r="I427" s="6"/>
      <c r="J427" s="6"/>
      <c r="K427" s="6"/>
      <c r="L427" s="6"/>
      <c r="M427" s="6"/>
      <c r="N427" s="6"/>
      <c r="O427" s="6"/>
    </row>
    <row r="428">
      <c r="B428" s="368"/>
      <c r="C428" s="368"/>
      <c r="D428" s="368"/>
      <c r="H428" s="6"/>
      <c r="I428" s="6"/>
      <c r="J428" s="6"/>
      <c r="K428" s="6"/>
      <c r="L428" s="6"/>
      <c r="M428" s="6"/>
      <c r="N428" s="6"/>
      <c r="O428" s="6"/>
    </row>
    <row r="429">
      <c r="B429" s="368"/>
      <c r="C429" s="368"/>
      <c r="D429" s="368"/>
      <c r="H429" s="6"/>
      <c r="I429" s="6"/>
      <c r="J429" s="6"/>
      <c r="K429" s="6"/>
      <c r="L429" s="6"/>
      <c r="M429" s="6"/>
      <c r="N429" s="6"/>
      <c r="O429" s="6"/>
    </row>
    <row r="430">
      <c r="B430" s="368"/>
      <c r="C430" s="368"/>
      <c r="D430" s="368"/>
      <c r="H430" s="6"/>
      <c r="I430" s="6"/>
      <c r="J430" s="6"/>
      <c r="K430" s="6"/>
      <c r="L430" s="6"/>
      <c r="M430" s="6"/>
      <c r="N430" s="6"/>
      <c r="O430" s="6"/>
    </row>
    <row r="431">
      <c r="B431" s="368"/>
      <c r="C431" s="368"/>
      <c r="D431" s="368"/>
      <c r="H431" s="6"/>
      <c r="I431" s="6"/>
      <c r="J431" s="6"/>
      <c r="K431" s="6"/>
      <c r="L431" s="6"/>
      <c r="M431" s="6"/>
      <c r="N431" s="6"/>
      <c r="O431" s="6"/>
    </row>
    <row r="432">
      <c r="B432" s="368"/>
      <c r="C432" s="368"/>
      <c r="D432" s="368"/>
      <c r="H432" s="6"/>
      <c r="I432" s="6"/>
      <c r="J432" s="6"/>
      <c r="K432" s="6"/>
      <c r="L432" s="6"/>
      <c r="M432" s="6"/>
      <c r="N432" s="6"/>
      <c r="O432" s="6"/>
    </row>
    <row r="433">
      <c r="B433" s="368"/>
      <c r="C433" s="368"/>
      <c r="D433" s="368"/>
      <c r="H433" s="6"/>
      <c r="I433" s="6"/>
      <c r="J433" s="6"/>
      <c r="K433" s="6"/>
      <c r="L433" s="6"/>
      <c r="M433" s="6"/>
      <c r="N433" s="6"/>
      <c r="O433" s="6"/>
    </row>
    <row r="434">
      <c r="B434" s="368"/>
      <c r="C434" s="368"/>
      <c r="D434" s="368"/>
      <c r="H434" s="6"/>
      <c r="I434" s="6"/>
      <c r="J434" s="6"/>
      <c r="K434" s="6"/>
      <c r="L434" s="6"/>
      <c r="M434" s="6"/>
      <c r="N434" s="6"/>
      <c r="O434" s="6"/>
    </row>
    <row r="435">
      <c r="B435" s="368"/>
      <c r="C435" s="368"/>
      <c r="D435" s="368"/>
      <c r="H435" s="6"/>
      <c r="I435" s="6"/>
      <c r="J435" s="6"/>
      <c r="K435" s="6"/>
      <c r="L435" s="6"/>
      <c r="M435" s="6"/>
      <c r="N435" s="6"/>
      <c r="O435" s="6"/>
    </row>
    <row r="436">
      <c r="B436" s="368"/>
      <c r="C436" s="368"/>
      <c r="D436" s="368"/>
      <c r="H436" s="6"/>
      <c r="I436" s="6"/>
      <c r="J436" s="6"/>
      <c r="K436" s="6"/>
      <c r="L436" s="6"/>
      <c r="M436" s="6"/>
      <c r="N436" s="6"/>
      <c r="O436" s="6"/>
    </row>
    <row r="437">
      <c r="B437" s="368"/>
      <c r="C437" s="368"/>
      <c r="D437" s="368"/>
      <c r="H437" s="6"/>
      <c r="I437" s="6"/>
      <c r="J437" s="6"/>
      <c r="K437" s="6"/>
      <c r="L437" s="6"/>
      <c r="M437" s="6"/>
      <c r="N437" s="6"/>
      <c r="O437" s="6"/>
    </row>
    <row r="438">
      <c r="B438" s="368"/>
      <c r="C438" s="368"/>
      <c r="D438" s="368"/>
      <c r="H438" s="6"/>
      <c r="I438" s="6"/>
      <c r="J438" s="6"/>
      <c r="K438" s="6"/>
      <c r="L438" s="6"/>
      <c r="M438" s="6"/>
      <c r="N438" s="6"/>
      <c r="O438" s="6"/>
    </row>
    <row r="439">
      <c r="B439" s="368"/>
      <c r="C439" s="368"/>
      <c r="D439" s="368"/>
      <c r="H439" s="6"/>
      <c r="I439" s="6"/>
      <c r="J439" s="6"/>
      <c r="K439" s="6"/>
      <c r="L439" s="6"/>
      <c r="M439" s="6"/>
      <c r="N439" s="6"/>
      <c r="O439" s="6"/>
    </row>
    <row r="440">
      <c r="B440" s="368"/>
      <c r="C440" s="368"/>
      <c r="D440" s="368"/>
      <c r="H440" s="6"/>
      <c r="I440" s="6"/>
      <c r="J440" s="6"/>
      <c r="K440" s="6"/>
      <c r="L440" s="6"/>
      <c r="M440" s="6"/>
      <c r="N440" s="6"/>
      <c r="O440" s="6"/>
    </row>
    <row r="441">
      <c r="B441" s="368"/>
      <c r="C441" s="368"/>
      <c r="D441" s="368"/>
      <c r="H441" s="6"/>
      <c r="I441" s="6"/>
      <c r="J441" s="6"/>
      <c r="K441" s="6"/>
      <c r="L441" s="6"/>
      <c r="M441" s="6"/>
      <c r="N441" s="6"/>
      <c r="O441" s="6"/>
    </row>
    <row r="442">
      <c r="B442" s="368"/>
      <c r="C442" s="368"/>
      <c r="D442" s="368"/>
      <c r="H442" s="6"/>
      <c r="I442" s="6"/>
      <c r="J442" s="6"/>
      <c r="K442" s="6"/>
      <c r="L442" s="6"/>
      <c r="M442" s="6"/>
      <c r="N442" s="6"/>
      <c r="O442" s="6"/>
    </row>
    <row r="443">
      <c r="B443" s="368"/>
      <c r="C443" s="368"/>
      <c r="D443" s="368"/>
      <c r="H443" s="6"/>
      <c r="I443" s="6"/>
      <c r="J443" s="6"/>
      <c r="K443" s="6"/>
      <c r="L443" s="6"/>
      <c r="M443" s="6"/>
      <c r="N443" s="6"/>
      <c r="O443" s="6"/>
    </row>
    <row r="444">
      <c r="B444" s="368"/>
      <c r="C444" s="368"/>
      <c r="D444" s="368"/>
      <c r="H444" s="6"/>
      <c r="I444" s="6"/>
      <c r="J444" s="6"/>
      <c r="K444" s="6"/>
      <c r="L444" s="6"/>
      <c r="M444" s="6"/>
      <c r="N444" s="6"/>
      <c r="O444" s="6"/>
    </row>
    <row r="445">
      <c r="B445" s="368"/>
      <c r="C445" s="368"/>
      <c r="D445" s="368"/>
      <c r="H445" s="6"/>
      <c r="I445" s="6"/>
      <c r="J445" s="6"/>
      <c r="K445" s="6"/>
      <c r="L445" s="6"/>
      <c r="M445" s="6"/>
      <c r="N445" s="6"/>
      <c r="O445" s="6"/>
    </row>
    <row r="446">
      <c r="B446" s="368"/>
      <c r="C446" s="368"/>
      <c r="D446" s="368"/>
      <c r="H446" s="6"/>
      <c r="I446" s="6"/>
      <c r="J446" s="6"/>
      <c r="K446" s="6"/>
      <c r="L446" s="6"/>
      <c r="M446" s="6"/>
      <c r="N446" s="6"/>
      <c r="O446" s="6"/>
    </row>
    <row r="447">
      <c r="B447" s="368"/>
      <c r="C447" s="368"/>
      <c r="D447" s="368"/>
      <c r="H447" s="6"/>
      <c r="I447" s="6"/>
      <c r="J447" s="6"/>
      <c r="K447" s="6"/>
      <c r="L447" s="6"/>
      <c r="M447" s="6"/>
      <c r="N447" s="6"/>
      <c r="O447" s="6"/>
    </row>
    <row r="448">
      <c r="B448" s="368"/>
      <c r="C448" s="368"/>
      <c r="D448" s="368"/>
      <c r="H448" s="6"/>
      <c r="I448" s="6"/>
      <c r="J448" s="6"/>
      <c r="K448" s="6"/>
      <c r="L448" s="6"/>
      <c r="M448" s="6"/>
      <c r="N448" s="6"/>
      <c r="O448" s="6"/>
    </row>
    <row r="449">
      <c r="B449" s="368"/>
      <c r="C449" s="368"/>
      <c r="D449" s="368"/>
      <c r="H449" s="6"/>
      <c r="I449" s="6"/>
      <c r="J449" s="6"/>
      <c r="K449" s="6"/>
      <c r="L449" s="6"/>
      <c r="M449" s="6"/>
      <c r="N449" s="6"/>
      <c r="O449" s="6"/>
    </row>
    <row r="450">
      <c r="B450" s="368"/>
      <c r="C450" s="368"/>
      <c r="D450" s="368"/>
      <c r="H450" s="6"/>
      <c r="I450" s="6"/>
      <c r="J450" s="6"/>
      <c r="K450" s="6"/>
      <c r="L450" s="6"/>
      <c r="M450" s="6"/>
      <c r="N450" s="6"/>
      <c r="O450" s="6"/>
    </row>
    <row r="451">
      <c r="B451" s="368"/>
      <c r="C451" s="368"/>
      <c r="D451" s="368"/>
      <c r="H451" s="6"/>
      <c r="I451" s="6"/>
      <c r="J451" s="6"/>
      <c r="K451" s="6"/>
      <c r="L451" s="6"/>
      <c r="M451" s="6"/>
      <c r="N451" s="6"/>
      <c r="O451" s="6"/>
    </row>
    <row r="452">
      <c r="B452" s="368"/>
      <c r="C452" s="368"/>
      <c r="D452" s="368"/>
      <c r="H452" s="6"/>
      <c r="I452" s="6"/>
      <c r="J452" s="6"/>
      <c r="K452" s="6"/>
      <c r="L452" s="6"/>
      <c r="M452" s="6"/>
      <c r="N452" s="6"/>
      <c r="O452" s="6"/>
    </row>
    <row r="453">
      <c r="B453" s="368"/>
      <c r="C453" s="368"/>
      <c r="D453" s="368"/>
      <c r="H453" s="6"/>
      <c r="I453" s="6"/>
      <c r="J453" s="6"/>
      <c r="K453" s="6"/>
      <c r="L453" s="6"/>
      <c r="M453" s="6"/>
      <c r="N453" s="6"/>
      <c r="O453" s="6"/>
    </row>
    <row r="454">
      <c r="B454" s="368"/>
      <c r="C454" s="368"/>
      <c r="D454" s="368"/>
      <c r="H454" s="6"/>
      <c r="I454" s="6"/>
      <c r="J454" s="6"/>
      <c r="K454" s="6"/>
      <c r="L454" s="6"/>
      <c r="M454" s="6"/>
      <c r="N454" s="6"/>
      <c r="O454" s="6"/>
    </row>
    <row r="455">
      <c r="B455" s="368"/>
      <c r="C455" s="368"/>
      <c r="D455" s="368"/>
      <c r="H455" s="6"/>
      <c r="I455" s="6"/>
      <c r="J455" s="6"/>
      <c r="K455" s="6"/>
      <c r="L455" s="6"/>
      <c r="M455" s="6"/>
      <c r="N455" s="6"/>
      <c r="O455" s="6"/>
    </row>
    <row r="456">
      <c r="B456" s="368"/>
      <c r="C456" s="368"/>
      <c r="D456" s="368"/>
      <c r="H456" s="6"/>
      <c r="I456" s="6"/>
      <c r="J456" s="6"/>
      <c r="K456" s="6"/>
      <c r="L456" s="6"/>
      <c r="M456" s="6"/>
      <c r="N456" s="6"/>
      <c r="O456" s="6"/>
    </row>
    <row r="457">
      <c r="B457" s="368"/>
      <c r="C457" s="368"/>
      <c r="D457" s="368"/>
      <c r="H457" s="6"/>
      <c r="I457" s="6"/>
      <c r="J457" s="6"/>
      <c r="K457" s="6"/>
      <c r="L457" s="6"/>
      <c r="M457" s="6"/>
      <c r="N457" s="6"/>
      <c r="O457" s="6"/>
    </row>
    <row r="458">
      <c r="B458" s="368"/>
      <c r="C458" s="368"/>
      <c r="D458" s="368"/>
      <c r="H458" s="6"/>
      <c r="I458" s="6"/>
      <c r="J458" s="6"/>
      <c r="K458" s="6"/>
      <c r="L458" s="6"/>
      <c r="M458" s="6"/>
      <c r="N458" s="6"/>
      <c r="O458" s="6"/>
    </row>
    <row r="459">
      <c r="B459" s="368"/>
      <c r="C459" s="368"/>
      <c r="D459" s="368"/>
      <c r="H459" s="6"/>
      <c r="I459" s="6"/>
      <c r="J459" s="6"/>
      <c r="K459" s="6"/>
      <c r="L459" s="6"/>
      <c r="M459" s="6"/>
      <c r="N459" s="6"/>
      <c r="O459" s="6"/>
    </row>
    <row r="460">
      <c r="B460" s="368"/>
      <c r="C460" s="368"/>
      <c r="D460" s="368"/>
      <c r="H460" s="6"/>
      <c r="I460" s="6"/>
      <c r="J460" s="6"/>
      <c r="K460" s="6"/>
      <c r="L460" s="6"/>
      <c r="M460" s="6"/>
      <c r="N460" s="6"/>
      <c r="O460" s="6"/>
    </row>
    <row r="461">
      <c r="B461" s="368"/>
      <c r="C461" s="368"/>
      <c r="D461" s="368"/>
      <c r="H461" s="6"/>
      <c r="I461" s="6"/>
      <c r="J461" s="6"/>
      <c r="K461" s="6"/>
      <c r="L461" s="6"/>
      <c r="M461" s="6"/>
      <c r="N461" s="6"/>
      <c r="O461" s="6"/>
    </row>
    <row r="462">
      <c r="B462" s="368"/>
      <c r="C462" s="368"/>
      <c r="D462" s="368"/>
      <c r="H462" s="6"/>
      <c r="I462" s="6"/>
      <c r="J462" s="6"/>
      <c r="K462" s="6"/>
      <c r="L462" s="6"/>
      <c r="M462" s="6"/>
      <c r="N462" s="6"/>
      <c r="O462" s="6"/>
    </row>
    <row r="463">
      <c r="B463" s="368"/>
      <c r="C463" s="368"/>
      <c r="D463" s="368"/>
      <c r="H463" s="6"/>
      <c r="I463" s="6"/>
      <c r="J463" s="6"/>
      <c r="K463" s="6"/>
      <c r="L463" s="6"/>
      <c r="M463" s="6"/>
      <c r="N463" s="6"/>
      <c r="O463" s="6"/>
    </row>
    <row r="464">
      <c r="B464" s="368"/>
      <c r="C464" s="368"/>
      <c r="D464" s="368"/>
      <c r="H464" s="6"/>
      <c r="I464" s="6"/>
      <c r="J464" s="6"/>
      <c r="K464" s="6"/>
      <c r="L464" s="6"/>
      <c r="M464" s="6"/>
      <c r="N464" s="6"/>
      <c r="O464" s="6"/>
    </row>
    <row r="465">
      <c r="B465" s="368"/>
      <c r="C465" s="368"/>
      <c r="D465" s="368"/>
      <c r="H465" s="6"/>
      <c r="I465" s="6"/>
      <c r="J465" s="6"/>
      <c r="K465" s="6"/>
      <c r="L465" s="6"/>
      <c r="M465" s="6"/>
      <c r="N465" s="6"/>
      <c r="O465" s="6"/>
    </row>
    <row r="466">
      <c r="B466" s="368"/>
      <c r="C466" s="368"/>
      <c r="D466" s="368"/>
      <c r="H466" s="6"/>
      <c r="I466" s="6"/>
      <c r="J466" s="6"/>
      <c r="K466" s="6"/>
      <c r="L466" s="6"/>
      <c r="M466" s="6"/>
      <c r="N466" s="6"/>
      <c r="O466" s="6"/>
    </row>
    <row r="467">
      <c r="B467" s="368"/>
      <c r="C467" s="368"/>
      <c r="D467" s="368"/>
      <c r="H467" s="6"/>
      <c r="I467" s="6"/>
      <c r="J467" s="6"/>
      <c r="K467" s="6"/>
      <c r="L467" s="6"/>
      <c r="M467" s="6"/>
      <c r="N467" s="6"/>
      <c r="O467" s="6"/>
    </row>
    <row r="468">
      <c r="B468" s="368"/>
      <c r="C468" s="368"/>
      <c r="D468" s="368"/>
      <c r="H468" s="6"/>
      <c r="I468" s="6"/>
      <c r="J468" s="6"/>
      <c r="K468" s="6"/>
      <c r="L468" s="6"/>
      <c r="M468" s="6"/>
      <c r="N468" s="6"/>
      <c r="O468" s="6"/>
    </row>
    <row r="469">
      <c r="B469" s="368"/>
      <c r="C469" s="368"/>
      <c r="D469" s="368"/>
      <c r="H469" s="6"/>
      <c r="I469" s="6"/>
      <c r="J469" s="6"/>
      <c r="K469" s="6"/>
      <c r="L469" s="6"/>
      <c r="M469" s="6"/>
      <c r="N469" s="6"/>
      <c r="O469" s="6"/>
    </row>
    <row r="470">
      <c r="B470" s="368"/>
      <c r="C470" s="368"/>
      <c r="D470" s="368"/>
      <c r="H470" s="6"/>
      <c r="I470" s="6"/>
      <c r="J470" s="6"/>
      <c r="K470" s="6"/>
      <c r="L470" s="6"/>
      <c r="M470" s="6"/>
      <c r="N470" s="6"/>
      <c r="O470" s="6"/>
    </row>
    <row r="471">
      <c r="B471" s="368"/>
      <c r="C471" s="368"/>
      <c r="D471" s="368"/>
      <c r="H471" s="6"/>
      <c r="I471" s="6"/>
      <c r="J471" s="6"/>
      <c r="K471" s="6"/>
      <c r="L471" s="6"/>
      <c r="M471" s="6"/>
      <c r="N471" s="6"/>
      <c r="O471" s="6"/>
    </row>
    <row r="472">
      <c r="B472" s="368"/>
      <c r="C472" s="368"/>
      <c r="D472" s="368"/>
      <c r="H472" s="6"/>
      <c r="I472" s="6"/>
      <c r="J472" s="6"/>
      <c r="K472" s="6"/>
      <c r="L472" s="6"/>
      <c r="M472" s="6"/>
      <c r="N472" s="6"/>
      <c r="O472" s="6"/>
    </row>
    <row r="473">
      <c r="B473" s="368"/>
      <c r="C473" s="368"/>
      <c r="D473" s="368"/>
      <c r="H473" s="6"/>
      <c r="I473" s="6"/>
      <c r="J473" s="6"/>
      <c r="K473" s="6"/>
      <c r="L473" s="6"/>
      <c r="M473" s="6"/>
      <c r="N473" s="6"/>
      <c r="O473" s="6"/>
    </row>
    <row r="474">
      <c r="B474" s="368"/>
      <c r="C474" s="368"/>
      <c r="D474" s="368"/>
      <c r="H474" s="6"/>
      <c r="I474" s="6"/>
      <c r="J474" s="6"/>
      <c r="K474" s="6"/>
      <c r="L474" s="6"/>
      <c r="M474" s="6"/>
      <c r="N474" s="6"/>
      <c r="O474" s="6"/>
    </row>
    <row r="475">
      <c r="B475" s="368"/>
      <c r="C475" s="368"/>
      <c r="D475" s="368"/>
      <c r="H475" s="6"/>
      <c r="I475" s="6"/>
      <c r="J475" s="6"/>
      <c r="K475" s="6"/>
      <c r="L475" s="6"/>
      <c r="M475" s="6"/>
      <c r="N475" s="6"/>
      <c r="O475" s="6"/>
    </row>
    <row r="476">
      <c r="B476" s="368"/>
      <c r="C476" s="368"/>
      <c r="D476" s="368"/>
      <c r="H476" s="6"/>
      <c r="I476" s="6"/>
      <c r="J476" s="6"/>
      <c r="K476" s="6"/>
      <c r="L476" s="6"/>
      <c r="M476" s="6"/>
      <c r="N476" s="6"/>
      <c r="O476" s="6"/>
    </row>
    <row r="477">
      <c r="B477" s="368"/>
      <c r="C477" s="368"/>
      <c r="D477" s="368"/>
      <c r="H477" s="6"/>
      <c r="I477" s="6"/>
      <c r="J477" s="6"/>
      <c r="K477" s="6"/>
      <c r="L477" s="6"/>
      <c r="M477" s="6"/>
      <c r="N477" s="6"/>
      <c r="O477" s="6"/>
    </row>
    <row r="478">
      <c r="B478" s="368"/>
      <c r="C478" s="368"/>
      <c r="D478" s="368"/>
      <c r="H478" s="6"/>
      <c r="I478" s="6"/>
      <c r="J478" s="6"/>
      <c r="K478" s="6"/>
      <c r="L478" s="6"/>
      <c r="M478" s="6"/>
      <c r="N478" s="6"/>
      <c r="O478" s="6"/>
    </row>
    <row r="479">
      <c r="B479" s="368"/>
      <c r="C479" s="368"/>
      <c r="D479" s="368"/>
      <c r="H479" s="6"/>
      <c r="I479" s="6"/>
      <c r="J479" s="6"/>
      <c r="K479" s="6"/>
      <c r="L479" s="6"/>
      <c r="M479" s="6"/>
      <c r="N479" s="6"/>
      <c r="O479" s="6"/>
    </row>
    <row r="480">
      <c r="B480" s="368"/>
      <c r="C480" s="368"/>
      <c r="D480" s="368"/>
      <c r="H480" s="6"/>
      <c r="I480" s="6"/>
      <c r="J480" s="6"/>
      <c r="K480" s="6"/>
      <c r="L480" s="6"/>
      <c r="M480" s="6"/>
      <c r="N480" s="6"/>
      <c r="O480" s="6"/>
    </row>
    <row r="481">
      <c r="B481" s="368"/>
      <c r="C481" s="368"/>
      <c r="D481" s="368"/>
      <c r="H481" s="6"/>
      <c r="I481" s="6"/>
      <c r="J481" s="6"/>
      <c r="K481" s="6"/>
      <c r="L481" s="6"/>
      <c r="M481" s="6"/>
      <c r="N481" s="6"/>
      <c r="O481" s="6"/>
    </row>
    <row r="482">
      <c r="B482" s="368"/>
      <c r="C482" s="368"/>
      <c r="D482" s="368"/>
      <c r="H482" s="6"/>
      <c r="I482" s="6"/>
      <c r="J482" s="6"/>
      <c r="K482" s="6"/>
      <c r="L482" s="6"/>
      <c r="M482" s="6"/>
      <c r="N482" s="6"/>
      <c r="O482" s="6"/>
    </row>
    <row r="483">
      <c r="B483" s="368"/>
      <c r="C483" s="368"/>
      <c r="D483" s="368"/>
      <c r="H483" s="6"/>
      <c r="I483" s="6"/>
      <c r="J483" s="6"/>
      <c r="K483" s="6"/>
      <c r="L483" s="6"/>
      <c r="M483" s="6"/>
      <c r="N483" s="6"/>
      <c r="O483" s="6"/>
    </row>
    <row r="484">
      <c r="B484" s="368"/>
      <c r="C484" s="368"/>
      <c r="D484" s="368"/>
      <c r="H484" s="6"/>
      <c r="I484" s="6"/>
      <c r="J484" s="6"/>
      <c r="K484" s="6"/>
      <c r="L484" s="6"/>
      <c r="M484" s="6"/>
      <c r="N484" s="6"/>
      <c r="O484" s="6"/>
    </row>
    <row r="485">
      <c r="B485" s="368"/>
      <c r="C485" s="368"/>
      <c r="D485" s="368"/>
      <c r="H485" s="6"/>
      <c r="I485" s="6"/>
      <c r="J485" s="6"/>
      <c r="K485" s="6"/>
      <c r="L485" s="6"/>
      <c r="M485" s="6"/>
      <c r="N485" s="6"/>
      <c r="O485" s="6"/>
    </row>
    <row r="486">
      <c r="B486" s="368"/>
      <c r="C486" s="368"/>
      <c r="D486" s="368"/>
      <c r="H486" s="6"/>
      <c r="I486" s="6"/>
      <c r="J486" s="6"/>
      <c r="K486" s="6"/>
      <c r="L486" s="6"/>
      <c r="M486" s="6"/>
      <c r="N486" s="6"/>
      <c r="O486" s="6"/>
    </row>
    <row r="487">
      <c r="B487" s="368"/>
      <c r="C487" s="368"/>
      <c r="D487" s="368"/>
      <c r="H487" s="6"/>
      <c r="I487" s="6"/>
      <c r="J487" s="6"/>
      <c r="K487" s="6"/>
      <c r="L487" s="6"/>
      <c r="M487" s="6"/>
      <c r="N487" s="6"/>
      <c r="O487" s="6"/>
    </row>
    <row r="488">
      <c r="B488" s="368"/>
      <c r="C488" s="368"/>
      <c r="D488" s="368"/>
      <c r="H488" s="6"/>
      <c r="I488" s="6"/>
      <c r="J488" s="6"/>
      <c r="K488" s="6"/>
      <c r="L488" s="6"/>
      <c r="M488" s="6"/>
      <c r="N488" s="6"/>
      <c r="O488" s="6"/>
    </row>
    <row r="489">
      <c r="B489" s="368"/>
      <c r="C489" s="368"/>
      <c r="D489" s="368"/>
      <c r="H489" s="6"/>
      <c r="I489" s="6"/>
      <c r="J489" s="6"/>
      <c r="K489" s="6"/>
      <c r="L489" s="6"/>
      <c r="M489" s="6"/>
      <c r="N489" s="6"/>
      <c r="O489" s="6"/>
    </row>
    <row r="490">
      <c r="B490" s="368"/>
      <c r="C490" s="368"/>
      <c r="D490" s="368"/>
      <c r="H490" s="6"/>
      <c r="I490" s="6"/>
      <c r="J490" s="6"/>
      <c r="K490" s="6"/>
      <c r="L490" s="6"/>
      <c r="M490" s="6"/>
      <c r="N490" s="6"/>
      <c r="O490" s="6"/>
    </row>
    <row r="491">
      <c r="B491" s="368"/>
      <c r="C491" s="368"/>
      <c r="D491" s="368"/>
      <c r="H491" s="6"/>
      <c r="I491" s="6"/>
      <c r="J491" s="6"/>
      <c r="K491" s="6"/>
      <c r="L491" s="6"/>
      <c r="M491" s="6"/>
      <c r="N491" s="6"/>
      <c r="O491" s="6"/>
    </row>
    <row r="492">
      <c r="B492" s="368"/>
      <c r="C492" s="368"/>
      <c r="D492" s="368"/>
      <c r="H492" s="6"/>
      <c r="I492" s="6"/>
      <c r="J492" s="6"/>
      <c r="K492" s="6"/>
      <c r="L492" s="6"/>
      <c r="M492" s="6"/>
      <c r="N492" s="6"/>
      <c r="O492" s="6"/>
    </row>
    <row r="493">
      <c r="B493" s="368"/>
      <c r="C493" s="368"/>
      <c r="D493" s="368"/>
      <c r="H493" s="6"/>
      <c r="I493" s="6"/>
      <c r="J493" s="6"/>
      <c r="K493" s="6"/>
      <c r="L493" s="6"/>
      <c r="M493" s="6"/>
      <c r="N493" s="6"/>
      <c r="O493" s="6"/>
    </row>
    <row r="494">
      <c r="B494" s="368"/>
      <c r="C494" s="368"/>
      <c r="D494" s="368"/>
      <c r="H494" s="6"/>
      <c r="I494" s="6"/>
      <c r="J494" s="6"/>
      <c r="K494" s="6"/>
      <c r="L494" s="6"/>
      <c r="M494" s="6"/>
      <c r="N494" s="6"/>
      <c r="O494" s="6"/>
    </row>
    <row r="495">
      <c r="B495" s="368"/>
      <c r="C495" s="368"/>
      <c r="D495" s="368"/>
      <c r="H495" s="6"/>
      <c r="I495" s="6"/>
      <c r="J495" s="6"/>
      <c r="K495" s="6"/>
      <c r="L495" s="6"/>
      <c r="M495" s="6"/>
      <c r="N495" s="6"/>
      <c r="O495" s="6"/>
    </row>
    <row r="496">
      <c r="B496" s="368"/>
      <c r="C496" s="368"/>
      <c r="D496" s="368"/>
      <c r="H496" s="6"/>
      <c r="I496" s="6"/>
      <c r="J496" s="6"/>
      <c r="K496" s="6"/>
      <c r="L496" s="6"/>
      <c r="M496" s="6"/>
      <c r="N496" s="6"/>
      <c r="O496" s="6"/>
    </row>
    <row r="497">
      <c r="B497" s="368"/>
      <c r="C497" s="368"/>
      <c r="D497" s="368"/>
      <c r="H497" s="6"/>
      <c r="I497" s="6"/>
      <c r="J497" s="6"/>
      <c r="K497" s="6"/>
      <c r="L497" s="6"/>
      <c r="M497" s="6"/>
      <c r="N497" s="6"/>
      <c r="O497" s="6"/>
    </row>
    <row r="498">
      <c r="B498" s="368"/>
      <c r="C498" s="368"/>
      <c r="D498" s="368"/>
      <c r="H498" s="6"/>
      <c r="I498" s="6"/>
      <c r="J498" s="6"/>
      <c r="K498" s="6"/>
      <c r="L498" s="6"/>
      <c r="M498" s="6"/>
      <c r="N498" s="6"/>
      <c r="O498" s="6"/>
    </row>
    <row r="499">
      <c r="B499" s="368"/>
      <c r="C499" s="368"/>
      <c r="D499" s="368"/>
      <c r="H499" s="6"/>
      <c r="I499" s="6"/>
      <c r="J499" s="6"/>
      <c r="K499" s="6"/>
      <c r="L499" s="6"/>
      <c r="M499" s="6"/>
      <c r="N499" s="6"/>
      <c r="O499" s="6"/>
    </row>
    <row r="500">
      <c r="B500" s="368"/>
      <c r="C500" s="368"/>
      <c r="D500" s="368"/>
      <c r="H500" s="6"/>
      <c r="I500" s="6"/>
      <c r="J500" s="6"/>
      <c r="K500" s="6"/>
      <c r="L500" s="6"/>
      <c r="M500" s="6"/>
      <c r="N500" s="6"/>
      <c r="O500" s="6"/>
    </row>
    <row r="501">
      <c r="B501" s="368"/>
      <c r="C501" s="368"/>
      <c r="D501" s="368"/>
      <c r="H501" s="6"/>
      <c r="I501" s="6"/>
      <c r="J501" s="6"/>
      <c r="K501" s="6"/>
      <c r="L501" s="6"/>
      <c r="M501" s="6"/>
      <c r="N501" s="6"/>
      <c r="O501" s="6"/>
    </row>
    <row r="502">
      <c r="B502" s="368"/>
      <c r="C502" s="368"/>
      <c r="D502" s="368"/>
      <c r="H502" s="6"/>
      <c r="I502" s="6"/>
      <c r="J502" s="6"/>
      <c r="K502" s="6"/>
      <c r="L502" s="6"/>
      <c r="M502" s="6"/>
      <c r="N502" s="6"/>
      <c r="O502" s="6"/>
    </row>
    <row r="503">
      <c r="B503" s="368"/>
      <c r="C503" s="368"/>
      <c r="D503" s="368"/>
      <c r="H503" s="6"/>
      <c r="I503" s="6"/>
      <c r="J503" s="6"/>
      <c r="K503" s="6"/>
      <c r="L503" s="6"/>
      <c r="M503" s="6"/>
      <c r="N503" s="6"/>
      <c r="O503" s="6"/>
    </row>
    <row r="504">
      <c r="B504" s="368"/>
      <c r="C504" s="368"/>
      <c r="D504" s="368"/>
      <c r="H504" s="6"/>
      <c r="I504" s="6"/>
      <c r="J504" s="6"/>
      <c r="K504" s="6"/>
      <c r="L504" s="6"/>
      <c r="M504" s="6"/>
      <c r="N504" s="6"/>
      <c r="O504" s="6"/>
    </row>
    <row r="505">
      <c r="B505" s="368"/>
      <c r="C505" s="368"/>
      <c r="D505" s="368"/>
      <c r="H505" s="6"/>
      <c r="I505" s="6"/>
      <c r="J505" s="6"/>
      <c r="K505" s="6"/>
      <c r="L505" s="6"/>
      <c r="M505" s="6"/>
      <c r="N505" s="6"/>
      <c r="O505" s="6"/>
    </row>
    <row r="506">
      <c r="B506" s="368"/>
      <c r="C506" s="368"/>
      <c r="D506" s="368"/>
      <c r="H506" s="6"/>
      <c r="I506" s="6"/>
      <c r="J506" s="6"/>
      <c r="K506" s="6"/>
      <c r="L506" s="6"/>
      <c r="M506" s="6"/>
      <c r="N506" s="6"/>
      <c r="O506" s="6"/>
    </row>
    <row r="507">
      <c r="B507" s="368"/>
      <c r="C507" s="368"/>
      <c r="D507" s="368"/>
      <c r="H507" s="6"/>
      <c r="I507" s="6"/>
      <c r="J507" s="6"/>
      <c r="K507" s="6"/>
      <c r="L507" s="6"/>
      <c r="M507" s="6"/>
      <c r="N507" s="6"/>
      <c r="O507" s="6"/>
    </row>
    <row r="508">
      <c r="B508" s="368"/>
      <c r="C508" s="368"/>
      <c r="D508" s="368"/>
      <c r="H508" s="6"/>
      <c r="I508" s="6"/>
      <c r="J508" s="6"/>
      <c r="K508" s="6"/>
      <c r="L508" s="6"/>
      <c r="M508" s="6"/>
      <c r="N508" s="6"/>
      <c r="O508" s="6"/>
    </row>
    <row r="509">
      <c r="B509" s="368"/>
      <c r="C509" s="368"/>
      <c r="D509" s="368"/>
      <c r="H509" s="6"/>
      <c r="I509" s="6"/>
      <c r="J509" s="6"/>
      <c r="K509" s="6"/>
      <c r="L509" s="6"/>
      <c r="M509" s="6"/>
      <c r="N509" s="6"/>
      <c r="O509" s="6"/>
    </row>
    <row r="510">
      <c r="B510" s="368"/>
      <c r="C510" s="368"/>
      <c r="D510" s="368"/>
      <c r="H510" s="6"/>
      <c r="I510" s="6"/>
      <c r="J510" s="6"/>
      <c r="K510" s="6"/>
      <c r="L510" s="6"/>
      <c r="M510" s="6"/>
      <c r="N510" s="6"/>
      <c r="O510" s="6"/>
    </row>
    <row r="511">
      <c r="B511" s="368"/>
      <c r="C511" s="368"/>
      <c r="D511" s="368"/>
      <c r="H511" s="6"/>
      <c r="I511" s="6"/>
      <c r="J511" s="6"/>
      <c r="K511" s="6"/>
      <c r="L511" s="6"/>
      <c r="M511" s="6"/>
      <c r="N511" s="6"/>
      <c r="O511" s="6"/>
    </row>
    <row r="512">
      <c r="B512" s="368"/>
      <c r="C512" s="368"/>
      <c r="D512" s="368"/>
      <c r="H512" s="6"/>
      <c r="I512" s="6"/>
      <c r="J512" s="6"/>
      <c r="K512" s="6"/>
      <c r="L512" s="6"/>
      <c r="M512" s="6"/>
      <c r="N512" s="6"/>
      <c r="O512" s="6"/>
    </row>
    <row r="513">
      <c r="B513" s="368"/>
      <c r="C513" s="368"/>
      <c r="D513" s="368"/>
      <c r="H513" s="6"/>
      <c r="I513" s="6"/>
      <c r="J513" s="6"/>
      <c r="K513" s="6"/>
      <c r="L513" s="6"/>
      <c r="M513" s="6"/>
      <c r="N513" s="6"/>
      <c r="O513" s="6"/>
    </row>
    <row r="514">
      <c r="B514" s="368"/>
      <c r="C514" s="368"/>
      <c r="D514" s="368"/>
      <c r="H514" s="6"/>
      <c r="I514" s="6"/>
      <c r="J514" s="6"/>
      <c r="K514" s="6"/>
      <c r="L514" s="6"/>
      <c r="M514" s="6"/>
      <c r="N514" s="6"/>
      <c r="O514" s="6"/>
    </row>
    <row r="515">
      <c r="B515" s="368"/>
      <c r="C515" s="368"/>
      <c r="D515" s="368"/>
      <c r="H515" s="6"/>
      <c r="I515" s="6"/>
      <c r="J515" s="6"/>
      <c r="K515" s="6"/>
      <c r="L515" s="6"/>
      <c r="M515" s="6"/>
      <c r="N515" s="6"/>
      <c r="O515" s="6"/>
    </row>
    <row r="516">
      <c r="B516" s="368"/>
      <c r="C516" s="368"/>
      <c r="D516" s="368"/>
      <c r="H516" s="6"/>
      <c r="I516" s="6"/>
      <c r="J516" s="6"/>
      <c r="K516" s="6"/>
      <c r="L516" s="6"/>
      <c r="M516" s="6"/>
      <c r="N516" s="6"/>
      <c r="O516" s="6"/>
    </row>
    <row r="517">
      <c r="B517" s="368"/>
      <c r="C517" s="368"/>
      <c r="D517" s="368"/>
      <c r="H517" s="6"/>
      <c r="I517" s="6"/>
      <c r="J517" s="6"/>
      <c r="K517" s="6"/>
      <c r="L517" s="6"/>
      <c r="M517" s="6"/>
      <c r="N517" s="6"/>
      <c r="O517" s="6"/>
    </row>
    <row r="518">
      <c r="B518" s="368"/>
      <c r="C518" s="368"/>
      <c r="D518" s="368"/>
      <c r="H518" s="6"/>
      <c r="I518" s="6"/>
      <c r="J518" s="6"/>
      <c r="K518" s="6"/>
      <c r="L518" s="6"/>
      <c r="M518" s="6"/>
      <c r="N518" s="6"/>
      <c r="O518" s="6"/>
    </row>
    <row r="519">
      <c r="B519" s="368"/>
      <c r="C519" s="368"/>
      <c r="D519" s="368"/>
      <c r="H519" s="6"/>
      <c r="I519" s="6"/>
      <c r="J519" s="6"/>
      <c r="K519" s="6"/>
      <c r="L519" s="6"/>
      <c r="M519" s="6"/>
      <c r="N519" s="6"/>
      <c r="O519" s="6"/>
    </row>
    <row r="520">
      <c r="B520" s="368"/>
      <c r="C520" s="368"/>
      <c r="D520" s="368"/>
      <c r="H520" s="6"/>
      <c r="I520" s="6"/>
      <c r="J520" s="6"/>
      <c r="K520" s="6"/>
      <c r="L520" s="6"/>
      <c r="M520" s="6"/>
      <c r="N520" s="6"/>
      <c r="O520" s="6"/>
    </row>
    <row r="521">
      <c r="B521" s="368"/>
      <c r="C521" s="368"/>
      <c r="D521" s="368"/>
      <c r="H521" s="6"/>
      <c r="I521" s="6"/>
      <c r="J521" s="6"/>
      <c r="K521" s="6"/>
      <c r="L521" s="6"/>
      <c r="M521" s="6"/>
      <c r="N521" s="6"/>
      <c r="O521" s="6"/>
    </row>
    <row r="522">
      <c r="B522" s="368"/>
      <c r="C522" s="368"/>
      <c r="D522" s="368"/>
      <c r="H522" s="6"/>
      <c r="I522" s="6"/>
      <c r="J522" s="6"/>
      <c r="K522" s="6"/>
      <c r="L522" s="6"/>
      <c r="M522" s="6"/>
      <c r="N522" s="6"/>
      <c r="O522" s="6"/>
    </row>
    <row r="523">
      <c r="B523" s="368"/>
      <c r="C523" s="368"/>
      <c r="D523" s="368"/>
      <c r="H523" s="6"/>
      <c r="I523" s="6"/>
      <c r="J523" s="6"/>
      <c r="K523" s="6"/>
      <c r="L523" s="6"/>
      <c r="M523" s="6"/>
      <c r="N523" s="6"/>
      <c r="O523" s="6"/>
    </row>
    <row r="524">
      <c r="B524" s="368"/>
      <c r="C524" s="368"/>
      <c r="D524" s="368"/>
      <c r="H524" s="6"/>
      <c r="I524" s="6"/>
      <c r="J524" s="6"/>
      <c r="K524" s="6"/>
      <c r="L524" s="6"/>
      <c r="M524" s="6"/>
      <c r="N524" s="6"/>
      <c r="O524" s="6"/>
    </row>
    <row r="525">
      <c r="B525" s="368"/>
      <c r="C525" s="368"/>
      <c r="D525" s="368"/>
      <c r="H525" s="6"/>
      <c r="I525" s="6"/>
      <c r="J525" s="6"/>
      <c r="K525" s="6"/>
      <c r="L525" s="6"/>
      <c r="M525" s="6"/>
      <c r="N525" s="6"/>
      <c r="O525" s="6"/>
    </row>
    <row r="526">
      <c r="B526" s="368"/>
      <c r="C526" s="368"/>
      <c r="D526" s="368"/>
      <c r="H526" s="6"/>
      <c r="I526" s="6"/>
      <c r="J526" s="6"/>
      <c r="K526" s="6"/>
      <c r="L526" s="6"/>
      <c r="M526" s="6"/>
      <c r="N526" s="6"/>
      <c r="O526" s="6"/>
    </row>
    <row r="527">
      <c r="B527" s="368"/>
      <c r="C527" s="368"/>
      <c r="D527" s="368"/>
      <c r="H527" s="6"/>
      <c r="I527" s="6"/>
      <c r="J527" s="6"/>
      <c r="K527" s="6"/>
      <c r="L527" s="6"/>
      <c r="M527" s="6"/>
      <c r="N527" s="6"/>
      <c r="O527" s="6"/>
    </row>
    <row r="528">
      <c r="B528" s="368"/>
      <c r="C528" s="368"/>
      <c r="D528" s="368"/>
      <c r="H528" s="6"/>
      <c r="I528" s="6"/>
      <c r="J528" s="6"/>
      <c r="K528" s="6"/>
      <c r="L528" s="6"/>
      <c r="M528" s="6"/>
      <c r="N528" s="6"/>
      <c r="O528" s="6"/>
    </row>
    <row r="529">
      <c r="B529" s="368"/>
      <c r="C529" s="368"/>
      <c r="D529" s="368"/>
      <c r="H529" s="6"/>
      <c r="I529" s="6"/>
      <c r="J529" s="6"/>
      <c r="K529" s="6"/>
      <c r="L529" s="6"/>
      <c r="M529" s="6"/>
      <c r="N529" s="6"/>
      <c r="O529" s="6"/>
    </row>
    <row r="530">
      <c r="B530" s="368"/>
      <c r="C530" s="368"/>
      <c r="D530" s="368"/>
      <c r="H530" s="6"/>
      <c r="I530" s="6"/>
      <c r="J530" s="6"/>
      <c r="K530" s="6"/>
      <c r="L530" s="6"/>
      <c r="M530" s="6"/>
      <c r="N530" s="6"/>
      <c r="O530" s="6"/>
    </row>
    <row r="531">
      <c r="B531" s="368"/>
      <c r="C531" s="368"/>
      <c r="D531" s="368"/>
      <c r="H531" s="6"/>
      <c r="I531" s="6"/>
      <c r="J531" s="6"/>
      <c r="K531" s="6"/>
      <c r="L531" s="6"/>
      <c r="M531" s="6"/>
      <c r="N531" s="6"/>
      <c r="O531" s="6"/>
    </row>
    <row r="532">
      <c r="B532" s="368"/>
      <c r="C532" s="368"/>
      <c r="D532" s="368"/>
      <c r="H532" s="6"/>
      <c r="I532" s="6"/>
      <c r="J532" s="6"/>
      <c r="K532" s="6"/>
      <c r="L532" s="6"/>
      <c r="M532" s="6"/>
      <c r="N532" s="6"/>
      <c r="O532" s="6"/>
    </row>
    <row r="533">
      <c r="B533" s="368"/>
      <c r="C533" s="368"/>
      <c r="D533" s="368"/>
      <c r="H533" s="6"/>
      <c r="I533" s="6"/>
      <c r="J533" s="6"/>
      <c r="K533" s="6"/>
      <c r="L533" s="6"/>
      <c r="M533" s="6"/>
      <c r="N533" s="6"/>
      <c r="O533" s="6"/>
    </row>
    <row r="534">
      <c r="B534" s="368"/>
      <c r="C534" s="368"/>
      <c r="D534" s="368"/>
      <c r="H534" s="6"/>
      <c r="I534" s="6"/>
      <c r="J534" s="6"/>
      <c r="K534" s="6"/>
      <c r="L534" s="6"/>
      <c r="M534" s="6"/>
      <c r="N534" s="6"/>
      <c r="O534" s="6"/>
    </row>
    <row r="535">
      <c r="B535" s="368"/>
      <c r="C535" s="368"/>
      <c r="D535" s="368"/>
      <c r="H535" s="6"/>
      <c r="I535" s="6"/>
      <c r="J535" s="6"/>
      <c r="K535" s="6"/>
      <c r="L535" s="6"/>
      <c r="M535" s="6"/>
      <c r="N535" s="6"/>
      <c r="O535" s="6"/>
    </row>
    <row r="536">
      <c r="B536" s="368"/>
      <c r="C536" s="368"/>
      <c r="D536" s="368"/>
      <c r="H536" s="6"/>
      <c r="I536" s="6"/>
      <c r="J536" s="6"/>
      <c r="K536" s="6"/>
      <c r="L536" s="6"/>
      <c r="M536" s="6"/>
      <c r="N536" s="6"/>
      <c r="O536" s="6"/>
    </row>
    <row r="537">
      <c r="B537" s="368"/>
      <c r="C537" s="368"/>
      <c r="D537" s="368"/>
      <c r="H537" s="6"/>
      <c r="I537" s="6"/>
      <c r="J537" s="6"/>
      <c r="K537" s="6"/>
      <c r="L537" s="6"/>
      <c r="M537" s="6"/>
      <c r="N537" s="6"/>
      <c r="O537" s="6"/>
    </row>
    <row r="538">
      <c r="B538" s="368"/>
      <c r="C538" s="368"/>
      <c r="D538" s="368"/>
      <c r="H538" s="6"/>
      <c r="I538" s="6"/>
      <c r="J538" s="6"/>
      <c r="K538" s="6"/>
      <c r="L538" s="6"/>
      <c r="M538" s="6"/>
      <c r="N538" s="6"/>
      <c r="O538" s="6"/>
    </row>
    <row r="539">
      <c r="B539" s="368"/>
      <c r="C539" s="368"/>
      <c r="D539" s="368"/>
      <c r="H539" s="6"/>
      <c r="I539" s="6"/>
      <c r="J539" s="6"/>
      <c r="K539" s="6"/>
      <c r="L539" s="6"/>
      <c r="M539" s="6"/>
      <c r="N539" s="6"/>
      <c r="O539" s="6"/>
    </row>
    <row r="540">
      <c r="B540" s="368"/>
      <c r="C540" s="368"/>
      <c r="D540" s="368"/>
      <c r="H540" s="6"/>
      <c r="I540" s="6"/>
      <c r="J540" s="6"/>
      <c r="K540" s="6"/>
      <c r="L540" s="6"/>
      <c r="M540" s="6"/>
      <c r="N540" s="6"/>
      <c r="O540" s="6"/>
    </row>
    <row r="541">
      <c r="B541" s="368"/>
      <c r="C541" s="368"/>
      <c r="D541" s="368"/>
      <c r="H541" s="6"/>
      <c r="I541" s="6"/>
      <c r="J541" s="6"/>
      <c r="K541" s="6"/>
      <c r="L541" s="6"/>
      <c r="M541" s="6"/>
      <c r="N541" s="6"/>
      <c r="O541" s="6"/>
    </row>
    <row r="542">
      <c r="B542" s="368"/>
      <c r="C542" s="368"/>
      <c r="D542" s="368"/>
      <c r="H542" s="6"/>
      <c r="I542" s="6"/>
      <c r="J542" s="6"/>
      <c r="K542" s="6"/>
      <c r="L542" s="6"/>
      <c r="M542" s="6"/>
      <c r="N542" s="6"/>
      <c r="O542" s="6"/>
    </row>
    <row r="543">
      <c r="B543" s="368"/>
      <c r="C543" s="368"/>
      <c r="D543" s="368"/>
      <c r="H543" s="6"/>
      <c r="I543" s="6"/>
      <c r="J543" s="6"/>
      <c r="K543" s="6"/>
      <c r="L543" s="6"/>
      <c r="M543" s="6"/>
      <c r="N543" s="6"/>
      <c r="O543" s="6"/>
    </row>
    <row r="544">
      <c r="B544" s="368"/>
      <c r="C544" s="368"/>
      <c r="D544" s="368"/>
      <c r="H544" s="6"/>
      <c r="I544" s="6"/>
      <c r="J544" s="6"/>
      <c r="K544" s="6"/>
      <c r="L544" s="6"/>
      <c r="M544" s="6"/>
      <c r="N544" s="6"/>
      <c r="O544" s="6"/>
    </row>
    <row r="545">
      <c r="B545" s="368"/>
      <c r="C545" s="368"/>
      <c r="D545" s="368"/>
      <c r="H545" s="6"/>
      <c r="I545" s="6"/>
      <c r="J545" s="6"/>
      <c r="K545" s="6"/>
      <c r="L545" s="6"/>
      <c r="M545" s="6"/>
      <c r="N545" s="6"/>
      <c r="O545" s="6"/>
    </row>
    <row r="546">
      <c r="B546" s="368"/>
      <c r="C546" s="368"/>
      <c r="D546" s="368"/>
      <c r="H546" s="6"/>
      <c r="I546" s="6"/>
      <c r="J546" s="6"/>
      <c r="K546" s="6"/>
      <c r="L546" s="6"/>
      <c r="M546" s="6"/>
      <c r="N546" s="6"/>
      <c r="O546" s="6"/>
    </row>
    <row r="547">
      <c r="B547" s="368"/>
      <c r="C547" s="368"/>
      <c r="D547" s="368"/>
      <c r="H547" s="6"/>
      <c r="I547" s="6"/>
      <c r="J547" s="6"/>
      <c r="K547" s="6"/>
      <c r="L547" s="6"/>
      <c r="M547" s="6"/>
      <c r="N547" s="6"/>
      <c r="O547" s="6"/>
    </row>
    <row r="548">
      <c r="B548" s="368"/>
      <c r="C548" s="368"/>
      <c r="D548" s="368"/>
      <c r="H548" s="6"/>
      <c r="I548" s="6"/>
      <c r="J548" s="6"/>
      <c r="K548" s="6"/>
      <c r="L548" s="6"/>
      <c r="M548" s="6"/>
      <c r="N548" s="6"/>
      <c r="O548" s="6"/>
    </row>
    <row r="549">
      <c r="B549" s="368"/>
      <c r="C549" s="368"/>
      <c r="D549" s="368"/>
      <c r="H549" s="6"/>
      <c r="I549" s="6"/>
      <c r="J549" s="6"/>
      <c r="K549" s="6"/>
      <c r="L549" s="6"/>
      <c r="M549" s="6"/>
      <c r="N549" s="6"/>
      <c r="O549" s="6"/>
    </row>
    <row r="550">
      <c r="B550" s="368"/>
      <c r="C550" s="368"/>
      <c r="D550" s="368"/>
      <c r="H550" s="6"/>
      <c r="I550" s="6"/>
      <c r="J550" s="6"/>
      <c r="K550" s="6"/>
      <c r="L550" s="6"/>
      <c r="M550" s="6"/>
      <c r="N550" s="6"/>
      <c r="O550" s="6"/>
    </row>
    <row r="551">
      <c r="B551" s="368"/>
      <c r="C551" s="368"/>
      <c r="D551" s="368"/>
      <c r="H551" s="6"/>
      <c r="I551" s="6"/>
      <c r="J551" s="6"/>
      <c r="K551" s="6"/>
      <c r="L551" s="6"/>
      <c r="M551" s="6"/>
      <c r="N551" s="6"/>
      <c r="O551" s="6"/>
    </row>
    <row r="552">
      <c r="B552" s="368"/>
      <c r="C552" s="368"/>
      <c r="D552" s="368"/>
      <c r="H552" s="6"/>
      <c r="I552" s="6"/>
      <c r="J552" s="6"/>
      <c r="K552" s="6"/>
      <c r="L552" s="6"/>
      <c r="M552" s="6"/>
      <c r="N552" s="6"/>
      <c r="O552" s="6"/>
    </row>
    <row r="553">
      <c r="B553" s="368"/>
      <c r="C553" s="368"/>
      <c r="D553" s="368"/>
      <c r="H553" s="6"/>
      <c r="I553" s="6"/>
      <c r="J553" s="6"/>
      <c r="K553" s="6"/>
      <c r="L553" s="6"/>
      <c r="M553" s="6"/>
      <c r="N553" s="6"/>
      <c r="O553" s="6"/>
    </row>
    <row r="554">
      <c r="B554" s="368"/>
      <c r="C554" s="368"/>
      <c r="D554" s="368"/>
      <c r="H554" s="6"/>
      <c r="I554" s="6"/>
      <c r="J554" s="6"/>
      <c r="K554" s="6"/>
      <c r="L554" s="6"/>
      <c r="M554" s="6"/>
      <c r="N554" s="6"/>
      <c r="O554" s="6"/>
    </row>
    <row r="555">
      <c r="B555" s="368"/>
      <c r="C555" s="368"/>
      <c r="D555" s="368"/>
      <c r="H555" s="6"/>
      <c r="I555" s="6"/>
      <c r="J555" s="6"/>
      <c r="K555" s="6"/>
      <c r="L555" s="6"/>
      <c r="M555" s="6"/>
      <c r="N555" s="6"/>
      <c r="O555" s="6"/>
    </row>
    <row r="556">
      <c r="B556" s="368"/>
      <c r="C556" s="368"/>
      <c r="D556" s="368"/>
      <c r="H556" s="6"/>
      <c r="I556" s="6"/>
      <c r="J556" s="6"/>
      <c r="K556" s="6"/>
      <c r="L556" s="6"/>
      <c r="M556" s="6"/>
      <c r="N556" s="6"/>
      <c r="O556" s="6"/>
    </row>
    <row r="557">
      <c r="B557" s="368"/>
      <c r="C557" s="368"/>
      <c r="D557" s="368"/>
      <c r="H557" s="6"/>
      <c r="I557" s="6"/>
      <c r="J557" s="6"/>
      <c r="K557" s="6"/>
      <c r="L557" s="6"/>
      <c r="M557" s="6"/>
      <c r="N557" s="6"/>
      <c r="O557" s="6"/>
    </row>
    <row r="558">
      <c r="B558" s="368"/>
      <c r="C558" s="368"/>
      <c r="D558" s="368"/>
      <c r="H558" s="6"/>
      <c r="I558" s="6"/>
      <c r="J558" s="6"/>
      <c r="K558" s="6"/>
      <c r="L558" s="6"/>
      <c r="M558" s="6"/>
      <c r="N558" s="6"/>
      <c r="O558" s="6"/>
    </row>
    <row r="559">
      <c r="B559" s="368"/>
      <c r="C559" s="368"/>
      <c r="D559" s="368"/>
      <c r="H559" s="6"/>
      <c r="I559" s="6"/>
      <c r="J559" s="6"/>
      <c r="K559" s="6"/>
      <c r="L559" s="6"/>
      <c r="M559" s="6"/>
      <c r="N559" s="6"/>
      <c r="O559" s="6"/>
    </row>
    <row r="560">
      <c r="B560" s="368"/>
      <c r="C560" s="368"/>
      <c r="D560" s="368"/>
      <c r="H560" s="6"/>
      <c r="I560" s="6"/>
      <c r="J560" s="6"/>
      <c r="K560" s="6"/>
      <c r="L560" s="6"/>
      <c r="M560" s="6"/>
      <c r="N560" s="6"/>
      <c r="O560" s="6"/>
    </row>
    <row r="561">
      <c r="B561" s="368"/>
      <c r="C561" s="368"/>
      <c r="D561" s="368"/>
      <c r="H561" s="6"/>
      <c r="I561" s="6"/>
      <c r="J561" s="6"/>
      <c r="K561" s="6"/>
      <c r="L561" s="6"/>
      <c r="M561" s="6"/>
      <c r="N561" s="6"/>
      <c r="O561" s="6"/>
    </row>
    <row r="562">
      <c r="B562" s="368"/>
      <c r="C562" s="368"/>
      <c r="D562" s="368"/>
      <c r="H562" s="6"/>
      <c r="I562" s="6"/>
      <c r="J562" s="6"/>
      <c r="K562" s="6"/>
      <c r="L562" s="6"/>
      <c r="M562" s="6"/>
      <c r="N562" s="6"/>
      <c r="O562" s="6"/>
    </row>
    <row r="563">
      <c r="B563" s="368"/>
      <c r="C563" s="368"/>
      <c r="D563" s="368"/>
      <c r="H563" s="6"/>
      <c r="I563" s="6"/>
      <c r="J563" s="6"/>
      <c r="K563" s="6"/>
      <c r="L563" s="6"/>
      <c r="M563" s="6"/>
      <c r="N563" s="6"/>
      <c r="O563" s="6"/>
    </row>
    <row r="564">
      <c r="B564" s="368"/>
      <c r="C564" s="368"/>
      <c r="D564" s="368"/>
      <c r="H564" s="6"/>
      <c r="I564" s="6"/>
      <c r="J564" s="6"/>
      <c r="K564" s="6"/>
      <c r="L564" s="6"/>
      <c r="M564" s="6"/>
      <c r="N564" s="6"/>
      <c r="O564" s="6"/>
    </row>
    <row r="565">
      <c r="B565" s="368"/>
      <c r="C565" s="368"/>
      <c r="D565" s="368"/>
      <c r="H565" s="6"/>
      <c r="I565" s="6"/>
      <c r="J565" s="6"/>
      <c r="K565" s="6"/>
      <c r="L565" s="6"/>
      <c r="M565" s="6"/>
      <c r="N565" s="6"/>
      <c r="O565" s="6"/>
    </row>
    <row r="566">
      <c r="B566" s="368"/>
      <c r="C566" s="368"/>
      <c r="D566" s="368"/>
      <c r="H566" s="6"/>
      <c r="I566" s="6"/>
      <c r="J566" s="6"/>
      <c r="K566" s="6"/>
      <c r="L566" s="6"/>
      <c r="M566" s="6"/>
      <c r="N566" s="6"/>
      <c r="O566" s="6"/>
    </row>
    <row r="567">
      <c r="B567" s="368"/>
      <c r="C567" s="368"/>
      <c r="D567" s="368"/>
      <c r="H567" s="6"/>
      <c r="I567" s="6"/>
      <c r="J567" s="6"/>
      <c r="K567" s="6"/>
      <c r="L567" s="6"/>
      <c r="M567" s="6"/>
      <c r="N567" s="6"/>
      <c r="O567" s="6"/>
    </row>
    <row r="568">
      <c r="B568" s="368"/>
      <c r="C568" s="368"/>
      <c r="D568" s="368"/>
      <c r="H568" s="6"/>
      <c r="I568" s="6"/>
      <c r="J568" s="6"/>
      <c r="K568" s="6"/>
      <c r="L568" s="6"/>
      <c r="M568" s="6"/>
      <c r="N568" s="6"/>
      <c r="O568" s="6"/>
    </row>
    <row r="569">
      <c r="B569" s="368"/>
      <c r="C569" s="368"/>
      <c r="D569" s="368"/>
      <c r="H569" s="6"/>
      <c r="I569" s="6"/>
      <c r="J569" s="6"/>
      <c r="K569" s="6"/>
      <c r="L569" s="6"/>
      <c r="M569" s="6"/>
      <c r="N569" s="6"/>
      <c r="O569" s="6"/>
    </row>
    <row r="570">
      <c r="B570" s="368"/>
      <c r="C570" s="368"/>
      <c r="D570" s="368"/>
      <c r="H570" s="6"/>
      <c r="I570" s="6"/>
      <c r="J570" s="6"/>
      <c r="K570" s="6"/>
      <c r="L570" s="6"/>
      <c r="M570" s="6"/>
      <c r="N570" s="6"/>
      <c r="O570" s="6"/>
    </row>
    <row r="571">
      <c r="B571" s="368"/>
      <c r="C571" s="368"/>
      <c r="D571" s="368"/>
      <c r="H571" s="6"/>
      <c r="I571" s="6"/>
      <c r="J571" s="6"/>
      <c r="K571" s="6"/>
      <c r="L571" s="6"/>
      <c r="M571" s="6"/>
      <c r="N571" s="6"/>
      <c r="O571" s="6"/>
    </row>
    <row r="572">
      <c r="B572" s="368"/>
      <c r="C572" s="368"/>
      <c r="D572" s="368"/>
      <c r="H572" s="6"/>
      <c r="I572" s="6"/>
      <c r="J572" s="6"/>
      <c r="K572" s="6"/>
      <c r="L572" s="6"/>
      <c r="M572" s="6"/>
      <c r="N572" s="6"/>
      <c r="O572" s="6"/>
    </row>
    <row r="573">
      <c r="B573" s="368"/>
      <c r="C573" s="368"/>
      <c r="D573" s="368"/>
      <c r="H573" s="6"/>
      <c r="I573" s="6"/>
      <c r="J573" s="6"/>
      <c r="K573" s="6"/>
      <c r="L573" s="6"/>
      <c r="M573" s="6"/>
      <c r="N573" s="6"/>
      <c r="O573" s="6"/>
    </row>
    <row r="574">
      <c r="B574" s="368"/>
      <c r="C574" s="368"/>
      <c r="D574" s="368"/>
      <c r="H574" s="6"/>
      <c r="I574" s="6"/>
      <c r="J574" s="6"/>
      <c r="K574" s="6"/>
      <c r="L574" s="6"/>
      <c r="M574" s="6"/>
      <c r="N574" s="6"/>
      <c r="O574" s="6"/>
    </row>
    <row r="575">
      <c r="B575" s="368"/>
      <c r="C575" s="368"/>
      <c r="D575" s="368"/>
      <c r="H575" s="6"/>
      <c r="I575" s="6"/>
      <c r="J575" s="6"/>
      <c r="K575" s="6"/>
      <c r="L575" s="6"/>
      <c r="M575" s="6"/>
      <c r="N575" s="6"/>
      <c r="O575" s="6"/>
    </row>
    <row r="576">
      <c r="B576" s="368"/>
      <c r="C576" s="368"/>
      <c r="D576" s="368"/>
      <c r="H576" s="6"/>
      <c r="I576" s="6"/>
      <c r="J576" s="6"/>
      <c r="K576" s="6"/>
      <c r="L576" s="6"/>
      <c r="M576" s="6"/>
      <c r="N576" s="6"/>
      <c r="O576" s="6"/>
    </row>
    <row r="577">
      <c r="B577" s="368"/>
      <c r="C577" s="368"/>
      <c r="D577" s="368"/>
      <c r="H577" s="6"/>
      <c r="I577" s="6"/>
      <c r="J577" s="6"/>
      <c r="K577" s="6"/>
      <c r="L577" s="6"/>
      <c r="M577" s="6"/>
      <c r="N577" s="6"/>
      <c r="O577" s="6"/>
    </row>
    <row r="578">
      <c r="B578" s="368"/>
      <c r="C578" s="368"/>
      <c r="D578" s="368"/>
      <c r="H578" s="6"/>
      <c r="I578" s="6"/>
      <c r="J578" s="6"/>
      <c r="K578" s="6"/>
      <c r="L578" s="6"/>
      <c r="M578" s="6"/>
      <c r="N578" s="6"/>
      <c r="O578" s="6"/>
    </row>
    <row r="579">
      <c r="B579" s="368"/>
      <c r="C579" s="368"/>
      <c r="D579" s="368"/>
      <c r="H579" s="6"/>
      <c r="I579" s="6"/>
      <c r="J579" s="6"/>
      <c r="K579" s="6"/>
      <c r="L579" s="6"/>
      <c r="M579" s="6"/>
      <c r="N579" s="6"/>
      <c r="O579" s="6"/>
    </row>
    <row r="580">
      <c r="B580" s="368"/>
      <c r="C580" s="368"/>
      <c r="D580" s="368"/>
      <c r="H580" s="6"/>
      <c r="I580" s="6"/>
      <c r="J580" s="6"/>
      <c r="K580" s="6"/>
      <c r="L580" s="6"/>
      <c r="M580" s="6"/>
      <c r="N580" s="6"/>
      <c r="O580" s="6"/>
    </row>
    <row r="581">
      <c r="B581" s="368"/>
      <c r="C581" s="368"/>
      <c r="D581" s="368"/>
      <c r="H581" s="6"/>
      <c r="I581" s="6"/>
      <c r="J581" s="6"/>
      <c r="K581" s="6"/>
      <c r="L581" s="6"/>
      <c r="M581" s="6"/>
      <c r="N581" s="6"/>
      <c r="O581" s="6"/>
    </row>
    <row r="582">
      <c r="B582" s="368"/>
      <c r="C582" s="368"/>
      <c r="D582" s="368"/>
      <c r="H582" s="6"/>
      <c r="I582" s="6"/>
      <c r="J582" s="6"/>
      <c r="K582" s="6"/>
      <c r="L582" s="6"/>
      <c r="M582" s="6"/>
      <c r="N582" s="6"/>
      <c r="O582" s="6"/>
    </row>
    <row r="583">
      <c r="B583" s="368"/>
      <c r="C583" s="368"/>
      <c r="D583" s="368"/>
      <c r="H583" s="6"/>
      <c r="I583" s="6"/>
      <c r="J583" s="6"/>
      <c r="K583" s="6"/>
      <c r="L583" s="6"/>
      <c r="M583" s="6"/>
      <c r="N583" s="6"/>
      <c r="O583" s="6"/>
    </row>
    <row r="584">
      <c r="B584" s="368"/>
      <c r="C584" s="368"/>
      <c r="D584" s="368"/>
      <c r="H584" s="6"/>
      <c r="I584" s="6"/>
      <c r="J584" s="6"/>
      <c r="K584" s="6"/>
      <c r="L584" s="6"/>
      <c r="M584" s="6"/>
      <c r="N584" s="6"/>
      <c r="O584" s="6"/>
    </row>
    <row r="585">
      <c r="B585" s="368"/>
      <c r="C585" s="368"/>
      <c r="D585" s="368"/>
      <c r="H585" s="6"/>
      <c r="I585" s="6"/>
      <c r="J585" s="6"/>
      <c r="K585" s="6"/>
      <c r="L585" s="6"/>
      <c r="M585" s="6"/>
      <c r="N585" s="6"/>
      <c r="O585" s="6"/>
    </row>
    <row r="586">
      <c r="B586" s="368"/>
      <c r="C586" s="368"/>
      <c r="D586" s="368"/>
      <c r="H586" s="6"/>
      <c r="I586" s="6"/>
      <c r="J586" s="6"/>
      <c r="K586" s="6"/>
      <c r="L586" s="6"/>
      <c r="M586" s="6"/>
      <c r="N586" s="6"/>
      <c r="O586" s="6"/>
    </row>
    <row r="587">
      <c r="B587" s="368"/>
      <c r="C587" s="368"/>
      <c r="D587" s="368"/>
      <c r="H587" s="6"/>
      <c r="I587" s="6"/>
      <c r="J587" s="6"/>
      <c r="K587" s="6"/>
      <c r="L587" s="6"/>
      <c r="M587" s="6"/>
      <c r="N587" s="6"/>
      <c r="O587" s="6"/>
    </row>
    <row r="588">
      <c r="B588" s="368"/>
      <c r="C588" s="368"/>
      <c r="D588" s="368"/>
      <c r="H588" s="6"/>
      <c r="I588" s="6"/>
      <c r="J588" s="6"/>
      <c r="K588" s="6"/>
      <c r="L588" s="6"/>
      <c r="M588" s="6"/>
      <c r="N588" s="6"/>
      <c r="O588" s="6"/>
    </row>
    <row r="589">
      <c r="B589" s="368"/>
      <c r="C589" s="368"/>
      <c r="D589" s="368"/>
      <c r="H589" s="6"/>
      <c r="I589" s="6"/>
      <c r="J589" s="6"/>
      <c r="K589" s="6"/>
      <c r="L589" s="6"/>
      <c r="M589" s="6"/>
      <c r="N589" s="6"/>
      <c r="O589" s="6"/>
    </row>
    <row r="590">
      <c r="B590" s="368"/>
      <c r="C590" s="368"/>
      <c r="D590" s="368"/>
      <c r="H590" s="6"/>
      <c r="I590" s="6"/>
      <c r="J590" s="6"/>
      <c r="K590" s="6"/>
      <c r="L590" s="6"/>
      <c r="M590" s="6"/>
      <c r="N590" s="6"/>
      <c r="O590" s="6"/>
    </row>
    <row r="591">
      <c r="B591" s="368"/>
      <c r="C591" s="368"/>
      <c r="D591" s="368"/>
      <c r="H591" s="6"/>
      <c r="I591" s="6"/>
      <c r="J591" s="6"/>
      <c r="K591" s="6"/>
      <c r="L591" s="6"/>
      <c r="M591" s="6"/>
      <c r="N591" s="6"/>
      <c r="O591" s="6"/>
    </row>
    <row r="592">
      <c r="B592" s="368"/>
      <c r="C592" s="368"/>
      <c r="D592" s="368"/>
      <c r="H592" s="6"/>
      <c r="I592" s="6"/>
      <c r="J592" s="6"/>
      <c r="K592" s="6"/>
      <c r="L592" s="6"/>
      <c r="M592" s="6"/>
      <c r="N592" s="6"/>
      <c r="O592" s="6"/>
    </row>
    <row r="593">
      <c r="B593" s="368"/>
      <c r="C593" s="368"/>
      <c r="D593" s="368"/>
      <c r="H593" s="6"/>
      <c r="I593" s="6"/>
      <c r="J593" s="6"/>
      <c r="K593" s="6"/>
      <c r="L593" s="6"/>
      <c r="M593" s="6"/>
      <c r="N593" s="6"/>
      <c r="O593" s="6"/>
    </row>
    <row r="594">
      <c r="B594" s="368"/>
      <c r="C594" s="368"/>
      <c r="D594" s="368"/>
      <c r="H594" s="6"/>
      <c r="I594" s="6"/>
      <c r="J594" s="6"/>
      <c r="K594" s="6"/>
      <c r="L594" s="6"/>
      <c r="M594" s="6"/>
      <c r="N594" s="6"/>
      <c r="O594" s="6"/>
    </row>
    <row r="595">
      <c r="B595" s="368"/>
      <c r="C595" s="368"/>
      <c r="D595" s="368"/>
      <c r="H595" s="6"/>
      <c r="I595" s="6"/>
      <c r="J595" s="6"/>
      <c r="K595" s="6"/>
      <c r="L595" s="6"/>
      <c r="M595" s="6"/>
      <c r="N595" s="6"/>
      <c r="O595" s="6"/>
    </row>
    <row r="596">
      <c r="B596" s="368"/>
      <c r="C596" s="368"/>
      <c r="D596" s="368"/>
      <c r="H596" s="6"/>
      <c r="I596" s="6"/>
      <c r="J596" s="6"/>
      <c r="K596" s="6"/>
      <c r="L596" s="6"/>
      <c r="M596" s="6"/>
      <c r="N596" s="6"/>
      <c r="O596" s="6"/>
    </row>
    <row r="597">
      <c r="B597" s="368"/>
      <c r="C597" s="368"/>
      <c r="D597" s="368"/>
      <c r="H597" s="6"/>
      <c r="I597" s="6"/>
      <c r="J597" s="6"/>
      <c r="K597" s="6"/>
      <c r="L597" s="6"/>
      <c r="M597" s="6"/>
      <c r="N597" s="6"/>
      <c r="O597" s="6"/>
    </row>
    <row r="598">
      <c r="B598" s="368"/>
      <c r="C598" s="368"/>
      <c r="D598" s="368"/>
      <c r="H598" s="6"/>
      <c r="I598" s="6"/>
      <c r="J598" s="6"/>
      <c r="K598" s="6"/>
      <c r="L598" s="6"/>
      <c r="M598" s="6"/>
      <c r="N598" s="6"/>
      <c r="O598" s="6"/>
    </row>
    <row r="599">
      <c r="B599" s="368"/>
      <c r="C599" s="368"/>
      <c r="D599" s="368"/>
      <c r="H599" s="6"/>
      <c r="I599" s="6"/>
      <c r="J599" s="6"/>
      <c r="K599" s="6"/>
      <c r="L599" s="6"/>
      <c r="M599" s="6"/>
      <c r="N599" s="6"/>
      <c r="O599" s="6"/>
    </row>
    <row r="600">
      <c r="B600" s="368"/>
      <c r="C600" s="368"/>
      <c r="D600" s="368"/>
      <c r="H600" s="6"/>
      <c r="I600" s="6"/>
      <c r="J600" s="6"/>
      <c r="K600" s="6"/>
      <c r="L600" s="6"/>
      <c r="M600" s="6"/>
      <c r="N600" s="6"/>
      <c r="O600" s="6"/>
    </row>
    <row r="601">
      <c r="B601" s="368"/>
      <c r="C601" s="368"/>
      <c r="D601" s="368"/>
      <c r="H601" s="6"/>
      <c r="I601" s="6"/>
      <c r="J601" s="6"/>
      <c r="K601" s="6"/>
      <c r="L601" s="6"/>
      <c r="M601" s="6"/>
      <c r="N601" s="6"/>
      <c r="O601" s="6"/>
    </row>
    <row r="602">
      <c r="B602" s="368"/>
      <c r="C602" s="368"/>
      <c r="D602" s="368"/>
      <c r="H602" s="6"/>
      <c r="I602" s="6"/>
      <c r="J602" s="6"/>
      <c r="K602" s="6"/>
      <c r="L602" s="6"/>
      <c r="M602" s="6"/>
      <c r="N602" s="6"/>
      <c r="O602" s="6"/>
    </row>
    <row r="603">
      <c r="B603" s="368"/>
      <c r="C603" s="368"/>
      <c r="D603" s="368"/>
      <c r="H603" s="6"/>
      <c r="I603" s="6"/>
      <c r="J603" s="6"/>
      <c r="K603" s="6"/>
      <c r="L603" s="6"/>
      <c r="M603" s="6"/>
      <c r="N603" s="6"/>
      <c r="O603" s="6"/>
    </row>
    <row r="604">
      <c r="B604" s="368"/>
      <c r="C604" s="368"/>
      <c r="D604" s="368"/>
      <c r="H604" s="6"/>
      <c r="I604" s="6"/>
      <c r="J604" s="6"/>
      <c r="K604" s="6"/>
      <c r="L604" s="6"/>
      <c r="M604" s="6"/>
      <c r="N604" s="6"/>
      <c r="O604" s="6"/>
    </row>
    <row r="605">
      <c r="B605" s="368"/>
      <c r="C605" s="368"/>
      <c r="D605" s="368"/>
      <c r="H605" s="6"/>
      <c r="I605" s="6"/>
      <c r="J605" s="6"/>
      <c r="K605" s="6"/>
      <c r="L605" s="6"/>
      <c r="M605" s="6"/>
      <c r="N605" s="6"/>
      <c r="O605" s="6"/>
    </row>
    <row r="606">
      <c r="B606" s="368"/>
      <c r="C606" s="368"/>
      <c r="D606" s="368"/>
      <c r="H606" s="6"/>
      <c r="I606" s="6"/>
      <c r="J606" s="6"/>
      <c r="K606" s="6"/>
      <c r="L606" s="6"/>
      <c r="M606" s="6"/>
      <c r="N606" s="6"/>
      <c r="O606" s="6"/>
    </row>
    <row r="607">
      <c r="B607" s="368"/>
      <c r="C607" s="368"/>
      <c r="D607" s="368"/>
      <c r="H607" s="6"/>
      <c r="I607" s="6"/>
      <c r="J607" s="6"/>
      <c r="K607" s="6"/>
      <c r="L607" s="6"/>
      <c r="M607" s="6"/>
      <c r="N607" s="6"/>
      <c r="O607" s="6"/>
    </row>
    <row r="608">
      <c r="B608" s="368"/>
      <c r="C608" s="368"/>
      <c r="D608" s="368"/>
      <c r="H608" s="6"/>
      <c r="I608" s="6"/>
      <c r="J608" s="6"/>
      <c r="K608" s="6"/>
      <c r="L608" s="6"/>
      <c r="M608" s="6"/>
      <c r="N608" s="6"/>
      <c r="O608" s="6"/>
    </row>
    <row r="609">
      <c r="B609" s="368"/>
      <c r="C609" s="368"/>
      <c r="D609" s="368"/>
      <c r="H609" s="6"/>
      <c r="I609" s="6"/>
      <c r="J609" s="6"/>
      <c r="K609" s="6"/>
      <c r="L609" s="6"/>
      <c r="M609" s="6"/>
      <c r="N609" s="6"/>
      <c r="O609" s="6"/>
    </row>
    <row r="610">
      <c r="B610" s="368"/>
      <c r="C610" s="368"/>
      <c r="D610" s="368"/>
      <c r="H610" s="6"/>
      <c r="I610" s="6"/>
      <c r="J610" s="6"/>
      <c r="K610" s="6"/>
      <c r="L610" s="6"/>
      <c r="M610" s="6"/>
      <c r="N610" s="6"/>
      <c r="O610" s="6"/>
    </row>
    <row r="611">
      <c r="B611" s="368"/>
      <c r="C611" s="368"/>
      <c r="D611" s="368"/>
      <c r="H611" s="6"/>
      <c r="I611" s="6"/>
      <c r="J611" s="6"/>
      <c r="K611" s="6"/>
      <c r="L611" s="6"/>
      <c r="M611" s="6"/>
      <c r="N611" s="6"/>
      <c r="O611" s="6"/>
    </row>
    <row r="612">
      <c r="B612" s="368"/>
      <c r="C612" s="368"/>
      <c r="D612" s="368"/>
      <c r="H612" s="6"/>
      <c r="I612" s="6"/>
      <c r="J612" s="6"/>
      <c r="K612" s="6"/>
      <c r="L612" s="6"/>
      <c r="M612" s="6"/>
      <c r="N612" s="6"/>
      <c r="O612" s="6"/>
    </row>
    <row r="613">
      <c r="B613" s="368"/>
      <c r="C613" s="368"/>
      <c r="D613" s="368"/>
      <c r="H613" s="6"/>
      <c r="I613" s="6"/>
      <c r="J613" s="6"/>
      <c r="K613" s="6"/>
      <c r="L613" s="6"/>
      <c r="M613" s="6"/>
      <c r="N613" s="6"/>
      <c r="O613" s="6"/>
    </row>
    <row r="614">
      <c r="B614" s="368"/>
      <c r="C614" s="368"/>
      <c r="D614" s="368"/>
      <c r="H614" s="6"/>
      <c r="I614" s="6"/>
      <c r="J614" s="6"/>
      <c r="K614" s="6"/>
      <c r="L614" s="6"/>
      <c r="M614" s="6"/>
      <c r="N614" s="6"/>
      <c r="O614" s="6"/>
    </row>
    <row r="615">
      <c r="B615" s="368"/>
      <c r="C615" s="368"/>
      <c r="D615" s="368"/>
      <c r="H615" s="6"/>
      <c r="I615" s="6"/>
      <c r="J615" s="6"/>
      <c r="K615" s="6"/>
      <c r="L615" s="6"/>
      <c r="M615" s="6"/>
      <c r="N615" s="6"/>
      <c r="O615" s="6"/>
    </row>
    <row r="616">
      <c r="B616" s="368"/>
      <c r="C616" s="368"/>
      <c r="D616" s="368"/>
      <c r="H616" s="6"/>
      <c r="I616" s="6"/>
      <c r="J616" s="6"/>
      <c r="K616" s="6"/>
      <c r="L616" s="6"/>
      <c r="M616" s="6"/>
      <c r="N616" s="6"/>
      <c r="O616" s="6"/>
    </row>
    <row r="617">
      <c r="B617" s="368"/>
      <c r="C617" s="368"/>
      <c r="D617" s="368"/>
      <c r="H617" s="6"/>
      <c r="I617" s="6"/>
      <c r="J617" s="6"/>
      <c r="K617" s="6"/>
      <c r="L617" s="6"/>
      <c r="M617" s="6"/>
      <c r="N617" s="6"/>
      <c r="O617" s="6"/>
    </row>
    <row r="618">
      <c r="B618" s="368"/>
      <c r="C618" s="368"/>
      <c r="D618" s="368"/>
      <c r="H618" s="6"/>
      <c r="I618" s="6"/>
      <c r="J618" s="6"/>
      <c r="K618" s="6"/>
      <c r="L618" s="6"/>
      <c r="M618" s="6"/>
      <c r="N618" s="6"/>
      <c r="O618" s="6"/>
    </row>
    <row r="619">
      <c r="B619" s="368"/>
      <c r="C619" s="368"/>
      <c r="D619" s="368"/>
      <c r="H619" s="6"/>
      <c r="I619" s="6"/>
      <c r="J619" s="6"/>
      <c r="K619" s="6"/>
      <c r="L619" s="6"/>
      <c r="M619" s="6"/>
      <c r="N619" s="6"/>
      <c r="O619" s="6"/>
    </row>
    <row r="620">
      <c r="B620" s="368"/>
      <c r="C620" s="368"/>
      <c r="D620" s="368"/>
      <c r="H620" s="6"/>
      <c r="I620" s="6"/>
      <c r="J620" s="6"/>
      <c r="K620" s="6"/>
      <c r="L620" s="6"/>
      <c r="M620" s="6"/>
      <c r="N620" s="6"/>
      <c r="O620" s="6"/>
    </row>
    <row r="621">
      <c r="B621" s="368"/>
      <c r="C621" s="368"/>
      <c r="D621" s="368"/>
      <c r="H621" s="6"/>
      <c r="I621" s="6"/>
      <c r="J621" s="6"/>
      <c r="K621" s="6"/>
      <c r="L621" s="6"/>
      <c r="M621" s="6"/>
      <c r="N621" s="6"/>
      <c r="O621" s="6"/>
    </row>
    <row r="622">
      <c r="B622" s="368"/>
      <c r="C622" s="368"/>
      <c r="D622" s="368"/>
      <c r="H622" s="6"/>
      <c r="I622" s="6"/>
      <c r="J622" s="6"/>
      <c r="K622" s="6"/>
      <c r="L622" s="6"/>
      <c r="M622" s="6"/>
      <c r="N622" s="6"/>
      <c r="O622" s="6"/>
    </row>
    <row r="623">
      <c r="B623" s="368"/>
      <c r="C623" s="368"/>
      <c r="D623" s="368"/>
      <c r="H623" s="6"/>
      <c r="I623" s="6"/>
      <c r="J623" s="6"/>
      <c r="K623" s="6"/>
      <c r="L623" s="6"/>
      <c r="M623" s="6"/>
      <c r="N623" s="6"/>
      <c r="O623" s="6"/>
    </row>
    <row r="624">
      <c r="B624" s="368"/>
      <c r="C624" s="368"/>
      <c r="D624" s="368"/>
      <c r="H624" s="6"/>
      <c r="I624" s="6"/>
      <c r="J624" s="6"/>
      <c r="K624" s="6"/>
      <c r="L624" s="6"/>
      <c r="M624" s="6"/>
      <c r="N624" s="6"/>
      <c r="O624" s="6"/>
    </row>
    <row r="625">
      <c r="B625" s="368"/>
      <c r="C625" s="368"/>
      <c r="D625" s="368"/>
      <c r="H625" s="6"/>
      <c r="I625" s="6"/>
      <c r="J625" s="6"/>
      <c r="K625" s="6"/>
      <c r="L625" s="6"/>
      <c r="M625" s="6"/>
      <c r="N625" s="6"/>
      <c r="O625" s="6"/>
    </row>
    <row r="626">
      <c r="B626" s="368"/>
      <c r="C626" s="368"/>
      <c r="D626" s="368"/>
      <c r="H626" s="6"/>
      <c r="I626" s="6"/>
      <c r="J626" s="6"/>
      <c r="K626" s="6"/>
      <c r="L626" s="6"/>
      <c r="M626" s="6"/>
      <c r="N626" s="6"/>
      <c r="O626" s="6"/>
    </row>
    <row r="627">
      <c r="B627" s="368"/>
      <c r="C627" s="368"/>
      <c r="D627" s="368"/>
      <c r="H627" s="6"/>
      <c r="I627" s="6"/>
      <c r="J627" s="6"/>
      <c r="K627" s="6"/>
      <c r="L627" s="6"/>
      <c r="M627" s="6"/>
      <c r="N627" s="6"/>
      <c r="O627" s="6"/>
    </row>
    <row r="628">
      <c r="B628" s="368"/>
      <c r="C628" s="368"/>
      <c r="D628" s="368"/>
      <c r="H628" s="6"/>
      <c r="I628" s="6"/>
      <c r="J628" s="6"/>
      <c r="K628" s="6"/>
      <c r="L628" s="6"/>
      <c r="M628" s="6"/>
      <c r="N628" s="6"/>
      <c r="O628" s="6"/>
    </row>
    <row r="629">
      <c r="B629" s="368"/>
      <c r="C629" s="368"/>
      <c r="D629" s="368"/>
      <c r="H629" s="6"/>
      <c r="I629" s="6"/>
      <c r="J629" s="6"/>
      <c r="K629" s="6"/>
      <c r="L629" s="6"/>
      <c r="M629" s="6"/>
      <c r="N629" s="6"/>
      <c r="O629" s="6"/>
    </row>
    <row r="630">
      <c r="B630" s="368"/>
      <c r="C630" s="368"/>
      <c r="D630" s="368"/>
      <c r="H630" s="6"/>
      <c r="I630" s="6"/>
      <c r="J630" s="6"/>
      <c r="K630" s="6"/>
      <c r="L630" s="6"/>
      <c r="M630" s="6"/>
      <c r="N630" s="6"/>
      <c r="O630" s="6"/>
    </row>
    <row r="631">
      <c r="B631" s="368"/>
      <c r="C631" s="368"/>
      <c r="D631" s="368"/>
      <c r="H631" s="6"/>
      <c r="I631" s="6"/>
      <c r="J631" s="6"/>
      <c r="K631" s="6"/>
      <c r="L631" s="6"/>
      <c r="M631" s="6"/>
      <c r="N631" s="6"/>
      <c r="O631" s="6"/>
    </row>
    <row r="632">
      <c r="B632" s="368"/>
      <c r="C632" s="368"/>
      <c r="D632" s="368"/>
      <c r="H632" s="6"/>
      <c r="I632" s="6"/>
      <c r="J632" s="6"/>
      <c r="K632" s="6"/>
      <c r="L632" s="6"/>
      <c r="M632" s="6"/>
      <c r="N632" s="6"/>
      <c r="O632" s="6"/>
    </row>
    <row r="633">
      <c r="B633" s="368"/>
      <c r="C633" s="368"/>
      <c r="D633" s="368"/>
      <c r="H633" s="6"/>
      <c r="I633" s="6"/>
      <c r="J633" s="6"/>
      <c r="K633" s="6"/>
      <c r="L633" s="6"/>
      <c r="M633" s="6"/>
      <c r="N633" s="6"/>
      <c r="O633" s="6"/>
    </row>
    <row r="634">
      <c r="B634" s="368"/>
      <c r="C634" s="368"/>
      <c r="D634" s="368"/>
      <c r="H634" s="6"/>
      <c r="I634" s="6"/>
      <c r="J634" s="6"/>
      <c r="K634" s="6"/>
      <c r="L634" s="6"/>
      <c r="M634" s="6"/>
      <c r="N634" s="6"/>
      <c r="O634" s="6"/>
    </row>
    <row r="635">
      <c r="B635" s="368"/>
      <c r="C635" s="368"/>
      <c r="D635" s="368"/>
      <c r="H635" s="6"/>
      <c r="I635" s="6"/>
      <c r="J635" s="6"/>
      <c r="K635" s="6"/>
      <c r="L635" s="6"/>
      <c r="M635" s="6"/>
      <c r="N635" s="6"/>
      <c r="O635" s="6"/>
    </row>
    <row r="636">
      <c r="B636" s="368"/>
      <c r="C636" s="368"/>
      <c r="D636" s="368"/>
      <c r="H636" s="6"/>
      <c r="I636" s="6"/>
      <c r="J636" s="6"/>
      <c r="K636" s="6"/>
      <c r="L636" s="6"/>
      <c r="M636" s="6"/>
      <c r="N636" s="6"/>
      <c r="O636" s="6"/>
    </row>
    <row r="637">
      <c r="B637" s="368"/>
      <c r="C637" s="368"/>
      <c r="D637" s="368"/>
      <c r="H637" s="6"/>
      <c r="I637" s="6"/>
      <c r="J637" s="6"/>
      <c r="K637" s="6"/>
      <c r="L637" s="6"/>
      <c r="M637" s="6"/>
      <c r="N637" s="6"/>
      <c r="O637" s="6"/>
    </row>
    <row r="638">
      <c r="B638" s="368"/>
      <c r="C638" s="368"/>
      <c r="D638" s="368"/>
      <c r="H638" s="6"/>
      <c r="I638" s="6"/>
      <c r="J638" s="6"/>
      <c r="K638" s="6"/>
      <c r="L638" s="6"/>
      <c r="M638" s="6"/>
      <c r="N638" s="6"/>
      <c r="O638" s="6"/>
    </row>
    <row r="639">
      <c r="B639" s="368"/>
      <c r="C639" s="368"/>
      <c r="D639" s="368"/>
      <c r="H639" s="6"/>
      <c r="I639" s="6"/>
      <c r="J639" s="6"/>
      <c r="K639" s="6"/>
      <c r="L639" s="6"/>
      <c r="M639" s="6"/>
      <c r="N639" s="6"/>
      <c r="O639" s="6"/>
    </row>
    <row r="640">
      <c r="B640" s="368"/>
      <c r="C640" s="368"/>
      <c r="D640" s="368"/>
      <c r="H640" s="6"/>
      <c r="I640" s="6"/>
      <c r="J640" s="6"/>
      <c r="K640" s="6"/>
      <c r="L640" s="6"/>
      <c r="M640" s="6"/>
      <c r="N640" s="6"/>
      <c r="O640" s="6"/>
    </row>
    <row r="641">
      <c r="B641" s="368"/>
      <c r="C641" s="368"/>
      <c r="D641" s="368"/>
      <c r="H641" s="6"/>
      <c r="I641" s="6"/>
      <c r="J641" s="6"/>
      <c r="K641" s="6"/>
      <c r="L641" s="6"/>
      <c r="M641" s="6"/>
      <c r="N641" s="6"/>
      <c r="O641" s="6"/>
    </row>
    <row r="642">
      <c r="B642" s="368"/>
      <c r="C642" s="368"/>
      <c r="D642" s="368"/>
      <c r="H642" s="6"/>
      <c r="I642" s="6"/>
      <c r="J642" s="6"/>
      <c r="K642" s="6"/>
      <c r="L642" s="6"/>
      <c r="M642" s="6"/>
      <c r="N642" s="6"/>
      <c r="O642" s="6"/>
    </row>
    <row r="643">
      <c r="B643" s="368"/>
      <c r="C643" s="368"/>
      <c r="D643" s="368"/>
      <c r="H643" s="6"/>
      <c r="I643" s="6"/>
      <c r="J643" s="6"/>
      <c r="K643" s="6"/>
      <c r="L643" s="6"/>
      <c r="M643" s="6"/>
      <c r="N643" s="6"/>
      <c r="O643" s="6"/>
    </row>
    <row r="644">
      <c r="B644" s="368"/>
      <c r="C644" s="368"/>
      <c r="D644" s="368"/>
      <c r="H644" s="6"/>
      <c r="I644" s="6"/>
      <c r="J644" s="6"/>
      <c r="K644" s="6"/>
      <c r="L644" s="6"/>
      <c r="M644" s="6"/>
      <c r="N644" s="6"/>
      <c r="O644" s="6"/>
    </row>
    <row r="645">
      <c r="B645" s="368"/>
      <c r="C645" s="368"/>
      <c r="D645" s="368"/>
      <c r="H645" s="6"/>
      <c r="I645" s="6"/>
      <c r="J645" s="6"/>
      <c r="K645" s="6"/>
      <c r="L645" s="6"/>
      <c r="M645" s="6"/>
      <c r="N645" s="6"/>
      <c r="O645" s="6"/>
    </row>
    <row r="646">
      <c r="B646" s="368"/>
      <c r="C646" s="368"/>
      <c r="D646" s="368"/>
      <c r="H646" s="6"/>
      <c r="I646" s="6"/>
      <c r="J646" s="6"/>
      <c r="K646" s="6"/>
      <c r="L646" s="6"/>
      <c r="M646" s="6"/>
      <c r="N646" s="6"/>
      <c r="O646" s="6"/>
    </row>
    <row r="647">
      <c r="B647" s="368"/>
      <c r="C647" s="368"/>
      <c r="D647" s="368"/>
      <c r="H647" s="6"/>
      <c r="I647" s="6"/>
      <c r="J647" s="6"/>
      <c r="K647" s="6"/>
      <c r="L647" s="6"/>
      <c r="M647" s="6"/>
      <c r="N647" s="6"/>
      <c r="O647" s="6"/>
    </row>
    <row r="648">
      <c r="B648" s="368"/>
      <c r="C648" s="368"/>
      <c r="D648" s="368"/>
      <c r="H648" s="6"/>
      <c r="I648" s="6"/>
      <c r="J648" s="6"/>
      <c r="K648" s="6"/>
      <c r="L648" s="6"/>
      <c r="M648" s="6"/>
      <c r="N648" s="6"/>
      <c r="O648" s="6"/>
    </row>
    <row r="649">
      <c r="B649" s="368"/>
      <c r="C649" s="368"/>
      <c r="D649" s="368"/>
      <c r="H649" s="6"/>
      <c r="I649" s="6"/>
      <c r="J649" s="6"/>
      <c r="K649" s="6"/>
      <c r="L649" s="6"/>
      <c r="M649" s="6"/>
      <c r="N649" s="6"/>
      <c r="O649" s="6"/>
    </row>
    <row r="650">
      <c r="B650" s="368"/>
      <c r="C650" s="368"/>
      <c r="D650" s="368"/>
      <c r="H650" s="6"/>
      <c r="I650" s="6"/>
      <c r="J650" s="6"/>
      <c r="K650" s="6"/>
      <c r="L650" s="6"/>
      <c r="M650" s="6"/>
      <c r="N650" s="6"/>
      <c r="O650" s="6"/>
    </row>
    <row r="651">
      <c r="B651" s="368"/>
      <c r="C651" s="368"/>
      <c r="D651" s="368"/>
      <c r="H651" s="6"/>
      <c r="I651" s="6"/>
      <c r="J651" s="6"/>
      <c r="K651" s="6"/>
      <c r="L651" s="6"/>
      <c r="M651" s="6"/>
      <c r="N651" s="6"/>
      <c r="O651" s="6"/>
    </row>
    <row r="652">
      <c r="B652" s="368"/>
      <c r="C652" s="368"/>
      <c r="D652" s="368"/>
      <c r="H652" s="6"/>
      <c r="I652" s="6"/>
      <c r="J652" s="6"/>
      <c r="K652" s="6"/>
      <c r="L652" s="6"/>
      <c r="M652" s="6"/>
      <c r="N652" s="6"/>
      <c r="O652" s="6"/>
    </row>
    <row r="653">
      <c r="B653" s="368"/>
      <c r="C653" s="368"/>
      <c r="D653" s="368"/>
      <c r="H653" s="6"/>
      <c r="I653" s="6"/>
      <c r="J653" s="6"/>
      <c r="K653" s="6"/>
      <c r="L653" s="6"/>
      <c r="M653" s="6"/>
      <c r="N653" s="6"/>
      <c r="O653" s="6"/>
    </row>
    <row r="654">
      <c r="B654" s="368"/>
      <c r="C654" s="368"/>
      <c r="D654" s="368"/>
      <c r="H654" s="6"/>
      <c r="I654" s="6"/>
      <c r="J654" s="6"/>
      <c r="K654" s="6"/>
      <c r="L654" s="6"/>
      <c r="M654" s="6"/>
      <c r="N654" s="6"/>
      <c r="O654" s="6"/>
    </row>
    <row r="655">
      <c r="B655" s="368"/>
      <c r="C655" s="368"/>
      <c r="D655" s="368"/>
      <c r="H655" s="6"/>
      <c r="I655" s="6"/>
      <c r="J655" s="6"/>
      <c r="K655" s="6"/>
      <c r="L655" s="6"/>
      <c r="M655" s="6"/>
      <c r="N655" s="6"/>
      <c r="O655" s="6"/>
    </row>
    <row r="656">
      <c r="B656" s="368"/>
      <c r="C656" s="368"/>
      <c r="D656" s="368"/>
      <c r="H656" s="6"/>
      <c r="I656" s="6"/>
      <c r="J656" s="6"/>
      <c r="K656" s="6"/>
      <c r="L656" s="6"/>
      <c r="M656" s="6"/>
      <c r="N656" s="6"/>
      <c r="O656" s="6"/>
    </row>
    <row r="657">
      <c r="B657" s="368"/>
      <c r="C657" s="368"/>
      <c r="D657" s="368"/>
      <c r="H657" s="6"/>
      <c r="I657" s="6"/>
      <c r="J657" s="6"/>
      <c r="K657" s="6"/>
      <c r="L657" s="6"/>
      <c r="M657" s="6"/>
      <c r="N657" s="6"/>
      <c r="O657" s="6"/>
    </row>
    <row r="658">
      <c r="B658" s="368"/>
      <c r="C658" s="368"/>
      <c r="D658" s="368"/>
      <c r="H658" s="6"/>
      <c r="I658" s="6"/>
      <c r="J658" s="6"/>
      <c r="K658" s="6"/>
      <c r="L658" s="6"/>
      <c r="M658" s="6"/>
      <c r="N658" s="6"/>
      <c r="O658" s="6"/>
    </row>
    <row r="659">
      <c r="B659" s="368"/>
      <c r="C659" s="368"/>
      <c r="D659" s="368"/>
      <c r="H659" s="6"/>
      <c r="I659" s="6"/>
      <c r="J659" s="6"/>
      <c r="K659" s="6"/>
      <c r="L659" s="6"/>
      <c r="M659" s="6"/>
      <c r="N659" s="6"/>
      <c r="O659" s="6"/>
    </row>
    <row r="660">
      <c r="B660" s="368"/>
      <c r="C660" s="368"/>
      <c r="D660" s="368"/>
      <c r="H660" s="6"/>
      <c r="I660" s="6"/>
      <c r="J660" s="6"/>
      <c r="K660" s="6"/>
      <c r="L660" s="6"/>
      <c r="M660" s="6"/>
      <c r="N660" s="6"/>
      <c r="O660" s="6"/>
    </row>
    <row r="661">
      <c r="B661" s="368"/>
      <c r="C661" s="368"/>
      <c r="D661" s="368"/>
      <c r="H661" s="6"/>
      <c r="I661" s="6"/>
      <c r="J661" s="6"/>
      <c r="K661" s="6"/>
      <c r="L661" s="6"/>
      <c r="M661" s="6"/>
      <c r="N661" s="6"/>
      <c r="O661" s="6"/>
    </row>
    <row r="662">
      <c r="B662" s="368"/>
      <c r="C662" s="368"/>
      <c r="D662" s="368"/>
      <c r="H662" s="6"/>
      <c r="I662" s="6"/>
      <c r="J662" s="6"/>
      <c r="K662" s="6"/>
      <c r="L662" s="6"/>
      <c r="M662" s="6"/>
      <c r="N662" s="6"/>
      <c r="O662" s="6"/>
    </row>
    <row r="663">
      <c r="B663" s="368"/>
      <c r="C663" s="368"/>
      <c r="D663" s="368"/>
      <c r="H663" s="6"/>
      <c r="I663" s="6"/>
      <c r="J663" s="6"/>
      <c r="K663" s="6"/>
      <c r="L663" s="6"/>
      <c r="M663" s="6"/>
      <c r="N663" s="6"/>
      <c r="O663" s="6"/>
    </row>
    <row r="664">
      <c r="B664" s="368"/>
      <c r="C664" s="368"/>
      <c r="D664" s="368"/>
      <c r="H664" s="6"/>
      <c r="I664" s="6"/>
      <c r="J664" s="6"/>
      <c r="K664" s="6"/>
      <c r="L664" s="6"/>
      <c r="M664" s="6"/>
      <c r="N664" s="6"/>
      <c r="O664" s="6"/>
    </row>
    <row r="665">
      <c r="B665" s="368"/>
      <c r="C665" s="368"/>
      <c r="D665" s="368"/>
      <c r="H665" s="6"/>
      <c r="I665" s="6"/>
      <c r="J665" s="6"/>
      <c r="K665" s="6"/>
      <c r="L665" s="6"/>
      <c r="M665" s="6"/>
      <c r="N665" s="6"/>
      <c r="O665" s="6"/>
    </row>
    <row r="666">
      <c r="B666" s="368"/>
      <c r="C666" s="368"/>
      <c r="D666" s="368"/>
      <c r="H666" s="6"/>
      <c r="I666" s="6"/>
      <c r="J666" s="6"/>
      <c r="K666" s="6"/>
      <c r="L666" s="6"/>
      <c r="M666" s="6"/>
      <c r="N666" s="6"/>
      <c r="O666" s="6"/>
    </row>
    <row r="667">
      <c r="B667" s="368"/>
      <c r="C667" s="368"/>
      <c r="D667" s="368"/>
      <c r="H667" s="6"/>
      <c r="I667" s="6"/>
      <c r="J667" s="6"/>
      <c r="K667" s="6"/>
      <c r="L667" s="6"/>
      <c r="M667" s="6"/>
      <c r="N667" s="6"/>
      <c r="O667" s="6"/>
    </row>
    <row r="668">
      <c r="B668" s="368"/>
      <c r="C668" s="368"/>
      <c r="D668" s="368"/>
      <c r="H668" s="6"/>
      <c r="I668" s="6"/>
      <c r="J668" s="6"/>
      <c r="K668" s="6"/>
      <c r="L668" s="6"/>
      <c r="M668" s="6"/>
      <c r="N668" s="6"/>
      <c r="O668" s="6"/>
    </row>
    <row r="669">
      <c r="B669" s="368"/>
      <c r="C669" s="368"/>
      <c r="D669" s="368"/>
      <c r="H669" s="6"/>
      <c r="I669" s="6"/>
      <c r="J669" s="6"/>
      <c r="K669" s="6"/>
      <c r="L669" s="6"/>
      <c r="M669" s="6"/>
      <c r="N669" s="6"/>
      <c r="O669" s="6"/>
    </row>
    <row r="670">
      <c r="B670" s="368"/>
      <c r="C670" s="368"/>
      <c r="D670" s="368"/>
      <c r="H670" s="6"/>
      <c r="I670" s="6"/>
      <c r="J670" s="6"/>
      <c r="K670" s="6"/>
      <c r="L670" s="6"/>
      <c r="M670" s="6"/>
      <c r="N670" s="6"/>
      <c r="O670" s="6"/>
    </row>
    <row r="671">
      <c r="B671" s="368"/>
      <c r="C671" s="368"/>
      <c r="D671" s="368"/>
      <c r="H671" s="6"/>
      <c r="I671" s="6"/>
      <c r="J671" s="6"/>
      <c r="K671" s="6"/>
      <c r="L671" s="6"/>
      <c r="M671" s="6"/>
      <c r="N671" s="6"/>
      <c r="O671" s="6"/>
    </row>
    <row r="672">
      <c r="B672" s="368"/>
      <c r="C672" s="368"/>
      <c r="D672" s="368"/>
      <c r="H672" s="6"/>
      <c r="I672" s="6"/>
      <c r="J672" s="6"/>
      <c r="K672" s="6"/>
      <c r="L672" s="6"/>
      <c r="M672" s="6"/>
      <c r="N672" s="6"/>
      <c r="O672" s="6"/>
    </row>
    <row r="673">
      <c r="B673" s="368"/>
      <c r="C673" s="368"/>
      <c r="D673" s="368"/>
      <c r="H673" s="6"/>
      <c r="I673" s="6"/>
      <c r="J673" s="6"/>
      <c r="K673" s="6"/>
      <c r="L673" s="6"/>
      <c r="M673" s="6"/>
      <c r="N673" s="6"/>
      <c r="O673" s="6"/>
    </row>
    <row r="674">
      <c r="B674" s="368"/>
      <c r="C674" s="368"/>
      <c r="D674" s="368"/>
      <c r="H674" s="6"/>
      <c r="I674" s="6"/>
      <c r="J674" s="6"/>
      <c r="K674" s="6"/>
      <c r="L674" s="6"/>
      <c r="M674" s="6"/>
      <c r="N674" s="6"/>
      <c r="O674" s="6"/>
    </row>
    <row r="675">
      <c r="B675" s="368"/>
      <c r="C675" s="368"/>
      <c r="D675" s="368"/>
      <c r="H675" s="6"/>
      <c r="I675" s="6"/>
      <c r="J675" s="6"/>
      <c r="K675" s="6"/>
      <c r="L675" s="6"/>
      <c r="M675" s="6"/>
      <c r="N675" s="6"/>
      <c r="O675" s="6"/>
    </row>
    <row r="676">
      <c r="B676" s="368"/>
      <c r="C676" s="368"/>
      <c r="D676" s="368"/>
      <c r="H676" s="6"/>
      <c r="I676" s="6"/>
      <c r="J676" s="6"/>
      <c r="K676" s="6"/>
      <c r="L676" s="6"/>
      <c r="M676" s="6"/>
      <c r="N676" s="6"/>
      <c r="O676" s="6"/>
    </row>
    <row r="677">
      <c r="B677" s="368"/>
      <c r="C677" s="368"/>
      <c r="D677" s="368"/>
      <c r="H677" s="6"/>
      <c r="I677" s="6"/>
      <c r="J677" s="6"/>
      <c r="K677" s="6"/>
      <c r="L677" s="6"/>
      <c r="M677" s="6"/>
      <c r="N677" s="6"/>
      <c r="O677" s="6"/>
    </row>
    <row r="678">
      <c r="B678" s="368"/>
      <c r="C678" s="368"/>
      <c r="D678" s="368"/>
      <c r="H678" s="6"/>
      <c r="I678" s="6"/>
      <c r="J678" s="6"/>
      <c r="K678" s="6"/>
      <c r="L678" s="6"/>
      <c r="M678" s="6"/>
      <c r="N678" s="6"/>
      <c r="O678" s="6"/>
    </row>
    <row r="679">
      <c r="B679" s="368"/>
      <c r="C679" s="368"/>
      <c r="D679" s="368"/>
      <c r="H679" s="6"/>
      <c r="I679" s="6"/>
      <c r="J679" s="6"/>
      <c r="K679" s="6"/>
      <c r="L679" s="6"/>
      <c r="M679" s="6"/>
      <c r="N679" s="6"/>
      <c r="O679" s="6"/>
    </row>
    <row r="680">
      <c r="B680" s="368"/>
      <c r="C680" s="368"/>
      <c r="D680" s="368"/>
      <c r="H680" s="6"/>
      <c r="I680" s="6"/>
      <c r="J680" s="6"/>
      <c r="K680" s="6"/>
      <c r="L680" s="6"/>
      <c r="M680" s="6"/>
      <c r="N680" s="6"/>
      <c r="O680" s="6"/>
    </row>
    <row r="681">
      <c r="B681" s="368"/>
      <c r="C681" s="368"/>
      <c r="D681" s="368"/>
      <c r="H681" s="6"/>
      <c r="I681" s="6"/>
      <c r="J681" s="6"/>
      <c r="K681" s="6"/>
      <c r="L681" s="6"/>
      <c r="M681" s="6"/>
      <c r="N681" s="6"/>
      <c r="O681" s="6"/>
    </row>
    <row r="682">
      <c r="B682" s="368"/>
      <c r="C682" s="368"/>
      <c r="D682" s="368"/>
      <c r="H682" s="6"/>
      <c r="I682" s="6"/>
      <c r="J682" s="6"/>
      <c r="K682" s="6"/>
      <c r="L682" s="6"/>
      <c r="M682" s="6"/>
      <c r="N682" s="6"/>
      <c r="O682" s="6"/>
    </row>
    <row r="683">
      <c r="B683" s="368"/>
      <c r="C683" s="368"/>
      <c r="D683" s="368"/>
      <c r="H683" s="6"/>
      <c r="I683" s="6"/>
      <c r="J683" s="6"/>
      <c r="K683" s="6"/>
      <c r="L683" s="6"/>
      <c r="M683" s="6"/>
      <c r="N683" s="6"/>
      <c r="O683" s="6"/>
    </row>
    <row r="684">
      <c r="B684" s="368"/>
      <c r="C684" s="368"/>
      <c r="D684" s="368"/>
      <c r="H684" s="6"/>
      <c r="I684" s="6"/>
      <c r="J684" s="6"/>
      <c r="K684" s="6"/>
      <c r="L684" s="6"/>
      <c r="M684" s="6"/>
      <c r="N684" s="6"/>
      <c r="O684" s="6"/>
    </row>
    <row r="685">
      <c r="B685" s="368"/>
      <c r="C685" s="368"/>
      <c r="D685" s="368"/>
      <c r="H685" s="6"/>
      <c r="I685" s="6"/>
      <c r="J685" s="6"/>
      <c r="K685" s="6"/>
      <c r="L685" s="6"/>
      <c r="M685" s="6"/>
      <c r="N685" s="6"/>
      <c r="O685" s="6"/>
    </row>
    <row r="686">
      <c r="B686" s="368"/>
      <c r="C686" s="368"/>
      <c r="D686" s="368"/>
      <c r="H686" s="6"/>
      <c r="I686" s="6"/>
      <c r="J686" s="6"/>
      <c r="K686" s="6"/>
      <c r="L686" s="6"/>
      <c r="M686" s="6"/>
      <c r="N686" s="6"/>
      <c r="O686" s="6"/>
    </row>
    <row r="687">
      <c r="B687" s="368"/>
      <c r="C687" s="368"/>
      <c r="D687" s="368"/>
      <c r="H687" s="6"/>
      <c r="I687" s="6"/>
      <c r="J687" s="6"/>
      <c r="K687" s="6"/>
      <c r="L687" s="6"/>
      <c r="M687" s="6"/>
      <c r="N687" s="6"/>
      <c r="O687" s="6"/>
    </row>
    <row r="688">
      <c r="B688" s="368"/>
      <c r="C688" s="368"/>
      <c r="D688" s="368"/>
      <c r="H688" s="6"/>
      <c r="I688" s="6"/>
      <c r="J688" s="6"/>
      <c r="K688" s="6"/>
      <c r="L688" s="6"/>
      <c r="M688" s="6"/>
      <c r="N688" s="6"/>
      <c r="O688" s="6"/>
    </row>
    <row r="689">
      <c r="B689" s="368"/>
      <c r="C689" s="368"/>
      <c r="D689" s="368"/>
      <c r="H689" s="6"/>
      <c r="I689" s="6"/>
      <c r="J689" s="6"/>
      <c r="K689" s="6"/>
      <c r="L689" s="6"/>
      <c r="M689" s="6"/>
      <c r="N689" s="6"/>
      <c r="O689" s="6"/>
    </row>
    <row r="690">
      <c r="B690" s="368"/>
      <c r="C690" s="368"/>
      <c r="D690" s="368"/>
      <c r="H690" s="6"/>
      <c r="I690" s="6"/>
      <c r="J690" s="6"/>
      <c r="K690" s="6"/>
      <c r="L690" s="6"/>
      <c r="M690" s="6"/>
      <c r="N690" s="6"/>
      <c r="O690" s="6"/>
    </row>
    <row r="691">
      <c r="B691" s="368"/>
      <c r="C691" s="368"/>
      <c r="D691" s="368"/>
      <c r="H691" s="6"/>
      <c r="I691" s="6"/>
      <c r="J691" s="6"/>
      <c r="K691" s="6"/>
      <c r="L691" s="6"/>
      <c r="M691" s="6"/>
      <c r="N691" s="6"/>
      <c r="O691" s="6"/>
    </row>
    <row r="692">
      <c r="B692" s="368"/>
      <c r="C692" s="368"/>
      <c r="D692" s="368"/>
      <c r="H692" s="6"/>
      <c r="I692" s="6"/>
      <c r="J692" s="6"/>
      <c r="K692" s="6"/>
      <c r="L692" s="6"/>
      <c r="M692" s="6"/>
      <c r="N692" s="6"/>
      <c r="O692" s="6"/>
    </row>
    <row r="693">
      <c r="B693" s="368"/>
      <c r="C693" s="368"/>
      <c r="D693" s="368"/>
      <c r="H693" s="6"/>
      <c r="I693" s="6"/>
      <c r="J693" s="6"/>
      <c r="K693" s="6"/>
      <c r="L693" s="6"/>
      <c r="M693" s="6"/>
      <c r="N693" s="6"/>
      <c r="O693" s="6"/>
    </row>
    <row r="694">
      <c r="B694" s="368"/>
      <c r="C694" s="368"/>
      <c r="D694" s="368"/>
      <c r="H694" s="6"/>
      <c r="I694" s="6"/>
      <c r="J694" s="6"/>
      <c r="K694" s="6"/>
      <c r="L694" s="6"/>
      <c r="M694" s="6"/>
      <c r="N694" s="6"/>
      <c r="O694" s="6"/>
    </row>
    <row r="695">
      <c r="B695" s="368"/>
      <c r="C695" s="368"/>
      <c r="D695" s="368"/>
      <c r="H695" s="6"/>
      <c r="I695" s="6"/>
      <c r="J695" s="6"/>
      <c r="K695" s="6"/>
      <c r="L695" s="6"/>
      <c r="M695" s="6"/>
      <c r="N695" s="6"/>
      <c r="O695" s="6"/>
    </row>
    <row r="696">
      <c r="B696" s="368"/>
      <c r="C696" s="368"/>
      <c r="D696" s="368"/>
      <c r="H696" s="6"/>
      <c r="I696" s="6"/>
      <c r="J696" s="6"/>
      <c r="K696" s="6"/>
      <c r="L696" s="6"/>
      <c r="M696" s="6"/>
      <c r="N696" s="6"/>
      <c r="O696" s="6"/>
    </row>
    <row r="697">
      <c r="B697" s="368"/>
      <c r="C697" s="368"/>
      <c r="D697" s="368"/>
      <c r="H697" s="6"/>
      <c r="I697" s="6"/>
      <c r="J697" s="6"/>
      <c r="K697" s="6"/>
      <c r="L697" s="6"/>
      <c r="M697" s="6"/>
      <c r="N697" s="6"/>
      <c r="O697" s="6"/>
    </row>
    <row r="698">
      <c r="B698" s="368"/>
      <c r="C698" s="368"/>
      <c r="D698" s="368"/>
      <c r="H698" s="6"/>
      <c r="I698" s="6"/>
      <c r="J698" s="6"/>
      <c r="K698" s="6"/>
      <c r="L698" s="6"/>
      <c r="M698" s="6"/>
      <c r="N698" s="6"/>
      <c r="O698" s="6"/>
    </row>
    <row r="699">
      <c r="B699" s="368"/>
      <c r="C699" s="368"/>
      <c r="D699" s="368"/>
      <c r="H699" s="6"/>
      <c r="I699" s="6"/>
      <c r="J699" s="6"/>
      <c r="K699" s="6"/>
      <c r="L699" s="6"/>
      <c r="M699" s="6"/>
      <c r="N699" s="6"/>
      <c r="O699" s="6"/>
    </row>
    <row r="700">
      <c r="B700" s="368"/>
      <c r="C700" s="368"/>
      <c r="D700" s="368"/>
      <c r="H700" s="6"/>
      <c r="I700" s="6"/>
      <c r="J700" s="6"/>
      <c r="K700" s="6"/>
      <c r="L700" s="6"/>
      <c r="M700" s="6"/>
      <c r="N700" s="6"/>
      <c r="O700" s="6"/>
    </row>
    <row r="701">
      <c r="B701" s="368"/>
      <c r="C701" s="368"/>
      <c r="D701" s="368"/>
      <c r="H701" s="6"/>
      <c r="I701" s="6"/>
      <c r="J701" s="6"/>
      <c r="K701" s="6"/>
      <c r="L701" s="6"/>
      <c r="M701" s="6"/>
      <c r="N701" s="6"/>
      <c r="O701" s="6"/>
    </row>
    <row r="702">
      <c r="B702" s="368"/>
      <c r="C702" s="368"/>
      <c r="D702" s="368"/>
      <c r="H702" s="6"/>
      <c r="I702" s="6"/>
      <c r="J702" s="6"/>
      <c r="K702" s="6"/>
      <c r="L702" s="6"/>
      <c r="M702" s="6"/>
      <c r="N702" s="6"/>
      <c r="O702" s="6"/>
    </row>
    <row r="703">
      <c r="B703" s="368"/>
      <c r="C703" s="368"/>
      <c r="D703" s="368"/>
      <c r="H703" s="6"/>
      <c r="I703" s="6"/>
      <c r="J703" s="6"/>
      <c r="K703" s="6"/>
      <c r="L703" s="6"/>
      <c r="M703" s="6"/>
      <c r="N703" s="6"/>
      <c r="O703" s="6"/>
    </row>
    <row r="704">
      <c r="B704" s="368"/>
      <c r="C704" s="368"/>
      <c r="D704" s="368"/>
      <c r="H704" s="6"/>
      <c r="I704" s="6"/>
      <c r="J704" s="6"/>
      <c r="K704" s="6"/>
      <c r="L704" s="6"/>
      <c r="M704" s="6"/>
      <c r="N704" s="6"/>
      <c r="O704" s="6"/>
    </row>
    <row r="705">
      <c r="B705" s="368"/>
      <c r="C705" s="368"/>
      <c r="D705" s="368"/>
      <c r="H705" s="6"/>
      <c r="I705" s="6"/>
      <c r="J705" s="6"/>
      <c r="K705" s="6"/>
      <c r="L705" s="6"/>
      <c r="M705" s="6"/>
      <c r="N705" s="6"/>
      <c r="O705" s="6"/>
    </row>
    <row r="706">
      <c r="B706" s="368"/>
      <c r="C706" s="368"/>
      <c r="D706" s="368"/>
      <c r="H706" s="6"/>
      <c r="I706" s="6"/>
      <c r="J706" s="6"/>
      <c r="K706" s="6"/>
      <c r="L706" s="6"/>
      <c r="M706" s="6"/>
      <c r="N706" s="6"/>
      <c r="O706" s="6"/>
    </row>
    <row r="707">
      <c r="B707" s="368"/>
      <c r="C707" s="368"/>
      <c r="D707" s="368"/>
      <c r="H707" s="6"/>
      <c r="I707" s="6"/>
      <c r="J707" s="6"/>
      <c r="K707" s="6"/>
      <c r="L707" s="6"/>
      <c r="M707" s="6"/>
      <c r="N707" s="6"/>
      <c r="O707" s="6"/>
    </row>
    <row r="708">
      <c r="B708" s="368"/>
      <c r="C708" s="368"/>
      <c r="D708" s="368"/>
      <c r="H708" s="6"/>
      <c r="I708" s="6"/>
      <c r="J708" s="6"/>
      <c r="K708" s="6"/>
      <c r="L708" s="6"/>
      <c r="M708" s="6"/>
      <c r="N708" s="6"/>
      <c r="O708" s="6"/>
    </row>
    <row r="709">
      <c r="B709" s="368"/>
      <c r="C709" s="368"/>
      <c r="D709" s="368"/>
      <c r="H709" s="6"/>
      <c r="I709" s="6"/>
      <c r="J709" s="6"/>
      <c r="K709" s="6"/>
      <c r="L709" s="6"/>
      <c r="M709" s="6"/>
      <c r="N709" s="6"/>
      <c r="O709" s="6"/>
    </row>
    <row r="710">
      <c r="B710" s="368"/>
      <c r="C710" s="368"/>
      <c r="D710" s="368"/>
      <c r="H710" s="6"/>
      <c r="I710" s="6"/>
      <c r="J710" s="6"/>
      <c r="K710" s="6"/>
      <c r="L710" s="6"/>
      <c r="M710" s="6"/>
      <c r="N710" s="6"/>
      <c r="O710" s="6"/>
    </row>
    <row r="711">
      <c r="B711" s="368"/>
      <c r="C711" s="368"/>
      <c r="D711" s="368"/>
      <c r="H711" s="6"/>
      <c r="I711" s="6"/>
      <c r="J711" s="6"/>
      <c r="K711" s="6"/>
      <c r="L711" s="6"/>
      <c r="M711" s="6"/>
      <c r="N711" s="6"/>
      <c r="O711" s="6"/>
    </row>
    <row r="712">
      <c r="B712" s="368"/>
      <c r="C712" s="368"/>
      <c r="D712" s="368"/>
      <c r="H712" s="6"/>
      <c r="I712" s="6"/>
      <c r="J712" s="6"/>
      <c r="K712" s="6"/>
      <c r="L712" s="6"/>
      <c r="M712" s="6"/>
      <c r="N712" s="6"/>
      <c r="O712" s="6"/>
    </row>
    <row r="713">
      <c r="B713" s="368"/>
      <c r="C713" s="368"/>
      <c r="D713" s="368"/>
      <c r="H713" s="6"/>
      <c r="I713" s="6"/>
      <c r="J713" s="6"/>
      <c r="K713" s="6"/>
      <c r="L713" s="6"/>
      <c r="M713" s="6"/>
      <c r="N713" s="6"/>
      <c r="O713" s="6"/>
    </row>
    <row r="714">
      <c r="B714" s="368"/>
      <c r="C714" s="368"/>
      <c r="D714" s="368"/>
      <c r="H714" s="6"/>
      <c r="I714" s="6"/>
      <c r="J714" s="6"/>
      <c r="K714" s="6"/>
      <c r="L714" s="6"/>
      <c r="M714" s="6"/>
      <c r="N714" s="6"/>
      <c r="O714" s="6"/>
    </row>
    <row r="715">
      <c r="B715" s="368"/>
      <c r="C715" s="368"/>
      <c r="D715" s="368"/>
      <c r="H715" s="6"/>
      <c r="I715" s="6"/>
      <c r="J715" s="6"/>
      <c r="K715" s="6"/>
      <c r="L715" s="6"/>
      <c r="M715" s="6"/>
      <c r="N715" s="6"/>
      <c r="O715" s="6"/>
    </row>
    <row r="716">
      <c r="B716" s="368"/>
      <c r="C716" s="368"/>
      <c r="D716" s="368"/>
      <c r="H716" s="6"/>
      <c r="I716" s="6"/>
      <c r="J716" s="6"/>
      <c r="K716" s="6"/>
      <c r="L716" s="6"/>
      <c r="M716" s="6"/>
      <c r="N716" s="6"/>
      <c r="O716" s="6"/>
    </row>
    <row r="717">
      <c r="B717" s="368"/>
      <c r="C717" s="368"/>
      <c r="D717" s="368"/>
      <c r="H717" s="6"/>
      <c r="I717" s="6"/>
      <c r="J717" s="6"/>
      <c r="K717" s="6"/>
      <c r="L717" s="6"/>
      <c r="M717" s="6"/>
      <c r="N717" s="6"/>
      <c r="O717" s="6"/>
    </row>
    <row r="718">
      <c r="B718" s="368"/>
      <c r="C718" s="368"/>
      <c r="D718" s="368"/>
      <c r="H718" s="6"/>
      <c r="I718" s="6"/>
      <c r="J718" s="6"/>
      <c r="K718" s="6"/>
      <c r="L718" s="6"/>
      <c r="M718" s="6"/>
      <c r="N718" s="6"/>
      <c r="O718" s="6"/>
    </row>
    <row r="719">
      <c r="B719" s="368"/>
      <c r="C719" s="368"/>
      <c r="D719" s="368"/>
      <c r="H719" s="6"/>
      <c r="I719" s="6"/>
      <c r="J719" s="6"/>
      <c r="K719" s="6"/>
      <c r="L719" s="6"/>
      <c r="M719" s="6"/>
      <c r="N719" s="6"/>
      <c r="O719" s="6"/>
    </row>
    <row r="720">
      <c r="B720" s="368"/>
      <c r="C720" s="368"/>
      <c r="D720" s="368"/>
      <c r="H720" s="6"/>
      <c r="I720" s="6"/>
      <c r="J720" s="6"/>
      <c r="K720" s="6"/>
      <c r="L720" s="6"/>
      <c r="M720" s="6"/>
      <c r="N720" s="6"/>
      <c r="O720" s="6"/>
    </row>
    <row r="721">
      <c r="B721" s="368"/>
      <c r="C721" s="368"/>
      <c r="D721" s="368"/>
      <c r="H721" s="6"/>
      <c r="I721" s="6"/>
      <c r="J721" s="6"/>
      <c r="K721" s="6"/>
      <c r="L721" s="6"/>
      <c r="M721" s="6"/>
      <c r="N721" s="6"/>
      <c r="O721" s="6"/>
    </row>
    <row r="722">
      <c r="B722" s="368"/>
      <c r="C722" s="368"/>
      <c r="D722" s="368"/>
      <c r="H722" s="6"/>
      <c r="I722" s="6"/>
      <c r="J722" s="6"/>
      <c r="K722" s="6"/>
      <c r="L722" s="6"/>
      <c r="M722" s="6"/>
      <c r="N722" s="6"/>
      <c r="O722" s="6"/>
    </row>
    <row r="723">
      <c r="B723" s="368"/>
      <c r="C723" s="368"/>
      <c r="D723" s="368"/>
      <c r="H723" s="6"/>
      <c r="I723" s="6"/>
      <c r="J723" s="6"/>
      <c r="K723" s="6"/>
      <c r="L723" s="6"/>
      <c r="M723" s="6"/>
      <c r="N723" s="6"/>
      <c r="O723" s="6"/>
    </row>
    <row r="724">
      <c r="B724" s="368"/>
      <c r="C724" s="368"/>
      <c r="D724" s="368"/>
      <c r="H724" s="6"/>
      <c r="I724" s="6"/>
      <c r="J724" s="6"/>
      <c r="K724" s="6"/>
      <c r="L724" s="6"/>
      <c r="M724" s="6"/>
      <c r="N724" s="6"/>
      <c r="O724" s="6"/>
    </row>
    <row r="725">
      <c r="B725" s="368"/>
      <c r="C725" s="368"/>
      <c r="D725" s="368"/>
      <c r="H725" s="6"/>
      <c r="I725" s="6"/>
      <c r="J725" s="6"/>
      <c r="K725" s="6"/>
      <c r="L725" s="6"/>
      <c r="M725" s="6"/>
      <c r="N725" s="6"/>
      <c r="O725" s="6"/>
    </row>
    <row r="726">
      <c r="B726" s="368"/>
      <c r="C726" s="368"/>
      <c r="D726" s="368"/>
      <c r="H726" s="6"/>
      <c r="I726" s="6"/>
      <c r="J726" s="6"/>
      <c r="K726" s="6"/>
      <c r="L726" s="6"/>
      <c r="M726" s="6"/>
      <c r="N726" s="6"/>
      <c r="O726" s="6"/>
    </row>
    <row r="727">
      <c r="B727" s="368"/>
      <c r="C727" s="368"/>
      <c r="D727" s="368"/>
      <c r="H727" s="6"/>
      <c r="I727" s="6"/>
      <c r="J727" s="6"/>
      <c r="K727" s="6"/>
      <c r="L727" s="6"/>
      <c r="M727" s="6"/>
      <c r="N727" s="6"/>
      <c r="O727" s="6"/>
    </row>
    <row r="728">
      <c r="B728" s="368"/>
      <c r="C728" s="368"/>
      <c r="D728" s="368"/>
      <c r="H728" s="6"/>
      <c r="I728" s="6"/>
      <c r="J728" s="6"/>
      <c r="K728" s="6"/>
      <c r="L728" s="6"/>
      <c r="M728" s="6"/>
      <c r="N728" s="6"/>
      <c r="O728" s="6"/>
    </row>
    <row r="729">
      <c r="B729" s="368"/>
      <c r="C729" s="368"/>
      <c r="D729" s="368"/>
      <c r="H729" s="6"/>
      <c r="I729" s="6"/>
      <c r="J729" s="6"/>
      <c r="K729" s="6"/>
      <c r="L729" s="6"/>
      <c r="M729" s="6"/>
      <c r="N729" s="6"/>
      <c r="O729" s="6"/>
    </row>
    <row r="730">
      <c r="B730" s="368"/>
      <c r="C730" s="368"/>
      <c r="D730" s="368"/>
      <c r="H730" s="6"/>
      <c r="I730" s="6"/>
      <c r="J730" s="6"/>
      <c r="K730" s="6"/>
      <c r="L730" s="6"/>
      <c r="M730" s="6"/>
      <c r="N730" s="6"/>
      <c r="O730" s="6"/>
    </row>
    <row r="731">
      <c r="B731" s="368"/>
      <c r="C731" s="368"/>
      <c r="D731" s="368"/>
      <c r="H731" s="6"/>
      <c r="I731" s="6"/>
      <c r="J731" s="6"/>
      <c r="K731" s="6"/>
      <c r="L731" s="6"/>
      <c r="M731" s="6"/>
      <c r="N731" s="6"/>
      <c r="O731" s="6"/>
    </row>
    <row r="732">
      <c r="B732" s="368"/>
      <c r="C732" s="368"/>
      <c r="D732" s="368"/>
      <c r="H732" s="6"/>
      <c r="I732" s="6"/>
      <c r="J732" s="6"/>
      <c r="K732" s="6"/>
      <c r="L732" s="6"/>
      <c r="M732" s="6"/>
      <c r="N732" s="6"/>
      <c r="O732" s="6"/>
    </row>
    <row r="733">
      <c r="B733" s="368"/>
      <c r="C733" s="368"/>
      <c r="D733" s="368"/>
      <c r="H733" s="6"/>
      <c r="I733" s="6"/>
      <c r="J733" s="6"/>
      <c r="K733" s="6"/>
      <c r="L733" s="6"/>
      <c r="M733" s="6"/>
      <c r="N733" s="6"/>
      <c r="O733" s="6"/>
    </row>
    <row r="734">
      <c r="B734" s="368"/>
      <c r="C734" s="368"/>
      <c r="D734" s="368"/>
      <c r="H734" s="6"/>
      <c r="I734" s="6"/>
      <c r="J734" s="6"/>
      <c r="K734" s="6"/>
      <c r="L734" s="6"/>
      <c r="M734" s="6"/>
      <c r="N734" s="6"/>
      <c r="O734" s="6"/>
    </row>
    <row r="735">
      <c r="B735" s="368"/>
      <c r="C735" s="368"/>
      <c r="D735" s="368"/>
      <c r="H735" s="6"/>
      <c r="I735" s="6"/>
      <c r="J735" s="6"/>
      <c r="K735" s="6"/>
      <c r="L735" s="6"/>
      <c r="M735" s="6"/>
      <c r="N735" s="6"/>
      <c r="O735" s="6"/>
    </row>
    <row r="736">
      <c r="B736" s="368"/>
      <c r="C736" s="368"/>
      <c r="D736" s="368"/>
      <c r="H736" s="6"/>
      <c r="I736" s="6"/>
      <c r="J736" s="6"/>
      <c r="K736" s="6"/>
      <c r="L736" s="6"/>
      <c r="M736" s="6"/>
      <c r="N736" s="6"/>
      <c r="O736" s="6"/>
    </row>
    <row r="737">
      <c r="B737" s="368"/>
      <c r="C737" s="368"/>
      <c r="D737" s="368"/>
      <c r="H737" s="6"/>
      <c r="I737" s="6"/>
      <c r="J737" s="6"/>
      <c r="K737" s="6"/>
      <c r="L737" s="6"/>
      <c r="M737" s="6"/>
      <c r="N737" s="6"/>
      <c r="O737" s="6"/>
    </row>
    <row r="738">
      <c r="B738" s="368"/>
      <c r="C738" s="368"/>
      <c r="D738" s="368"/>
      <c r="H738" s="6"/>
      <c r="I738" s="6"/>
      <c r="J738" s="6"/>
      <c r="K738" s="6"/>
      <c r="L738" s="6"/>
      <c r="M738" s="6"/>
      <c r="N738" s="6"/>
      <c r="O738" s="6"/>
    </row>
    <row r="739">
      <c r="B739" s="368"/>
      <c r="C739" s="368"/>
      <c r="D739" s="368"/>
      <c r="H739" s="6"/>
      <c r="I739" s="6"/>
      <c r="J739" s="6"/>
      <c r="K739" s="6"/>
      <c r="L739" s="6"/>
      <c r="M739" s="6"/>
      <c r="N739" s="6"/>
      <c r="O739" s="6"/>
    </row>
    <row r="740">
      <c r="B740" s="368"/>
      <c r="C740" s="368"/>
      <c r="D740" s="368"/>
      <c r="H740" s="6"/>
      <c r="I740" s="6"/>
      <c r="J740" s="6"/>
      <c r="K740" s="6"/>
      <c r="L740" s="6"/>
      <c r="M740" s="6"/>
      <c r="N740" s="6"/>
      <c r="O740" s="6"/>
    </row>
    <row r="741">
      <c r="B741" s="368"/>
      <c r="C741" s="368"/>
      <c r="D741" s="368"/>
      <c r="H741" s="6"/>
      <c r="I741" s="6"/>
      <c r="J741" s="6"/>
      <c r="K741" s="6"/>
      <c r="L741" s="6"/>
      <c r="M741" s="6"/>
      <c r="N741" s="6"/>
      <c r="O741" s="6"/>
    </row>
    <row r="742">
      <c r="B742" s="368"/>
      <c r="C742" s="368"/>
      <c r="D742" s="368"/>
      <c r="H742" s="6"/>
      <c r="I742" s="6"/>
      <c r="J742" s="6"/>
      <c r="K742" s="6"/>
      <c r="L742" s="6"/>
      <c r="M742" s="6"/>
      <c r="N742" s="6"/>
      <c r="O742" s="6"/>
    </row>
    <row r="743">
      <c r="B743" s="368"/>
      <c r="C743" s="368"/>
      <c r="D743" s="368"/>
      <c r="H743" s="6"/>
      <c r="I743" s="6"/>
      <c r="J743" s="6"/>
      <c r="K743" s="6"/>
      <c r="L743" s="6"/>
      <c r="M743" s="6"/>
      <c r="N743" s="6"/>
      <c r="O743" s="6"/>
    </row>
    <row r="744">
      <c r="B744" s="368"/>
      <c r="C744" s="368"/>
      <c r="D744" s="368"/>
      <c r="H744" s="6"/>
      <c r="I744" s="6"/>
      <c r="J744" s="6"/>
      <c r="K744" s="6"/>
      <c r="L744" s="6"/>
      <c r="M744" s="6"/>
      <c r="N744" s="6"/>
      <c r="O744" s="6"/>
    </row>
    <row r="745">
      <c r="B745" s="368"/>
      <c r="C745" s="368"/>
      <c r="D745" s="368"/>
      <c r="H745" s="6"/>
      <c r="I745" s="6"/>
      <c r="J745" s="6"/>
      <c r="K745" s="6"/>
      <c r="L745" s="6"/>
      <c r="M745" s="6"/>
      <c r="N745" s="6"/>
      <c r="O745" s="6"/>
    </row>
    <row r="746">
      <c r="B746" s="368"/>
      <c r="C746" s="368"/>
      <c r="D746" s="368"/>
      <c r="H746" s="6"/>
      <c r="I746" s="6"/>
      <c r="J746" s="6"/>
      <c r="K746" s="6"/>
      <c r="L746" s="6"/>
      <c r="M746" s="6"/>
      <c r="N746" s="6"/>
      <c r="O746" s="6"/>
    </row>
    <row r="747">
      <c r="B747" s="368"/>
      <c r="C747" s="368"/>
      <c r="D747" s="368"/>
      <c r="H747" s="6"/>
      <c r="I747" s="6"/>
      <c r="J747" s="6"/>
      <c r="K747" s="6"/>
      <c r="L747" s="6"/>
      <c r="M747" s="6"/>
      <c r="N747" s="6"/>
      <c r="O747" s="6"/>
    </row>
    <row r="748">
      <c r="B748" s="368"/>
      <c r="C748" s="368"/>
      <c r="D748" s="368"/>
      <c r="H748" s="6"/>
      <c r="I748" s="6"/>
      <c r="J748" s="6"/>
      <c r="K748" s="6"/>
      <c r="L748" s="6"/>
      <c r="M748" s="6"/>
      <c r="N748" s="6"/>
      <c r="O748" s="6"/>
    </row>
    <row r="749">
      <c r="B749" s="368"/>
      <c r="C749" s="368"/>
      <c r="D749" s="368"/>
      <c r="H749" s="6"/>
      <c r="I749" s="6"/>
      <c r="J749" s="6"/>
      <c r="K749" s="6"/>
      <c r="L749" s="6"/>
      <c r="M749" s="6"/>
      <c r="N749" s="6"/>
      <c r="O749" s="6"/>
    </row>
    <row r="750">
      <c r="B750" s="368"/>
      <c r="C750" s="368"/>
      <c r="D750" s="368"/>
      <c r="H750" s="6"/>
      <c r="I750" s="6"/>
      <c r="J750" s="6"/>
      <c r="K750" s="6"/>
      <c r="L750" s="6"/>
      <c r="M750" s="6"/>
      <c r="N750" s="6"/>
      <c r="O750" s="6"/>
    </row>
    <row r="751">
      <c r="B751" s="368"/>
      <c r="C751" s="368"/>
      <c r="D751" s="368"/>
      <c r="H751" s="6"/>
      <c r="I751" s="6"/>
      <c r="J751" s="6"/>
      <c r="K751" s="6"/>
      <c r="L751" s="6"/>
      <c r="M751" s="6"/>
      <c r="N751" s="6"/>
      <c r="O751" s="6"/>
    </row>
    <row r="752">
      <c r="B752" s="368"/>
      <c r="C752" s="368"/>
      <c r="D752" s="368"/>
      <c r="H752" s="6"/>
      <c r="I752" s="6"/>
      <c r="J752" s="6"/>
      <c r="K752" s="6"/>
      <c r="L752" s="6"/>
      <c r="M752" s="6"/>
      <c r="N752" s="6"/>
      <c r="O752" s="6"/>
    </row>
    <row r="753">
      <c r="B753" s="368"/>
      <c r="C753" s="368"/>
      <c r="D753" s="368"/>
      <c r="H753" s="6"/>
      <c r="I753" s="6"/>
      <c r="J753" s="6"/>
      <c r="K753" s="6"/>
      <c r="L753" s="6"/>
      <c r="M753" s="6"/>
      <c r="N753" s="6"/>
      <c r="O753" s="6"/>
    </row>
    <row r="754">
      <c r="B754" s="368"/>
      <c r="C754" s="368"/>
      <c r="D754" s="368"/>
      <c r="H754" s="6"/>
      <c r="I754" s="6"/>
      <c r="J754" s="6"/>
      <c r="K754" s="6"/>
      <c r="L754" s="6"/>
      <c r="M754" s="6"/>
      <c r="N754" s="6"/>
      <c r="O754" s="6"/>
    </row>
    <row r="755">
      <c r="B755" s="368"/>
      <c r="C755" s="368"/>
      <c r="D755" s="368"/>
      <c r="H755" s="6"/>
      <c r="I755" s="6"/>
      <c r="J755" s="6"/>
      <c r="K755" s="6"/>
      <c r="L755" s="6"/>
      <c r="M755" s="6"/>
      <c r="N755" s="6"/>
      <c r="O755" s="6"/>
    </row>
    <row r="756">
      <c r="B756" s="368"/>
      <c r="C756" s="368"/>
      <c r="D756" s="368"/>
      <c r="H756" s="6"/>
      <c r="I756" s="6"/>
      <c r="J756" s="6"/>
      <c r="K756" s="6"/>
      <c r="L756" s="6"/>
      <c r="M756" s="6"/>
      <c r="N756" s="6"/>
      <c r="O756" s="6"/>
    </row>
    <row r="757">
      <c r="B757" s="368"/>
      <c r="C757" s="368"/>
      <c r="D757" s="368"/>
      <c r="H757" s="6"/>
      <c r="I757" s="6"/>
      <c r="J757" s="6"/>
      <c r="K757" s="6"/>
      <c r="L757" s="6"/>
      <c r="M757" s="6"/>
      <c r="N757" s="6"/>
      <c r="O757" s="6"/>
    </row>
    <row r="758">
      <c r="B758" s="368"/>
      <c r="C758" s="368"/>
      <c r="D758" s="368"/>
      <c r="H758" s="6"/>
      <c r="I758" s="6"/>
      <c r="J758" s="6"/>
      <c r="K758" s="6"/>
      <c r="L758" s="6"/>
      <c r="M758" s="6"/>
      <c r="N758" s="6"/>
      <c r="O758" s="6"/>
    </row>
    <row r="759">
      <c r="B759" s="368"/>
      <c r="C759" s="368"/>
      <c r="D759" s="368"/>
      <c r="H759" s="6"/>
      <c r="I759" s="6"/>
      <c r="J759" s="6"/>
      <c r="K759" s="6"/>
      <c r="L759" s="6"/>
      <c r="M759" s="6"/>
      <c r="N759" s="6"/>
      <c r="O759" s="6"/>
    </row>
    <row r="760">
      <c r="B760" s="368"/>
      <c r="C760" s="368"/>
      <c r="D760" s="368"/>
      <c r="H760" s="6"/>
      <c r="I760" s="6"/>
      <c r="J760" s="6"/>
      <c r="K760" s="6"/>
      <c r="L760" s="6"/>
      <c r="M760" s="6"/>
      <c r="N760" s="6"/>
      <c r="O760" s="6"/>
    </row>
    <row r="761">
      <c r="B761" s="368"/>
      <c r="C761" s="368"/>
      <c r="D761" s="368"/>
      <c r="H761" s="6"/>
      <c r="I761" s="6"/>
      <c r="J761" s="6"/>
      <c r="K761" s="6"/>
      <c r="L761" s="6"/>
      <c r="M761" s="6"/>
      <c r="N761" s="6"/>
      <c r="O761" s="6"/>
    </row>
    <row r="762">
      <c r="B762" s="368"/>
      <c r="C762" s="368"/>
      <c r="D762" s="368"/>
      <c r="H762" s="6"/>
      <c r="I762" s="6"/>
      <c r="J762" s="6"/>
      <c r="K762" s="6"/>
      <c r="L762" s="6"/>
      <c r="M762" s="6"/>
      <c r="N762" s="6"/>
      <c r="O762" s="6"/>
    </row>
    <row r="763">
      <c r="B763" s="368"/>
      <c r="C763" s="368"/>
      <c r="D763" s="368"/>
      <c r="H763" s="6"/>
      <c r="I763" s="6"/>
      <c r="J763" s="6"/>
      <c r="K763" s="6"/>
      <c r="L763" s="6"/>
      <c r="M763" s="6"/>
      <c r="N763" s="6"/>
      <c r="O763" s="6"/>
    </row>
    <row r="764">
      <c r="B764" s="368"/>
      <c r="C764" s="368"/>
      <c r="D764" s="368"/>
      <c r="H764" s="6"/>
      <c r="I764" s="6"/>
      <c r="J764" s="6"/>
      <c r="K764" s="6"/>
      <c r="L764" s="6"/>
      <c r="M764" s="6"/>
      <c r="N764" s="6"/>
      <c r="O764" s="6"/>
    </row>
    <row r="765">
      <c r="B765" s="368"/>
      <c r="C765" s="368"/>
      <c r="D765" s="368"/>
      <c r="H765" s="6"/>
      <c r="I765" s="6"/>
      <c r="J765" s="6"/>
      <c r="K765" s="6"/>
      <c r="L765" s="6"/>
      <c r="M765" s="6"/>
      <c r="N765" s="6"/>
      <c r="O765" s="6"/>
    </row>
    <row r="766">
      <c r="B766" s="368"/>
      <c r="C766" s="368"/>
      <c r="D766" s="368"/>
      <c r="H766" s="6"/>
      <c r="I766" s="6"/>
      <c r="J766" s="6"/>
      <c r="K766" s="6"/>
      <c r="L766" s="6"/>
      <c r="M766" s="6"/>
      <c r="N766" s="6"/>
      <c r="O766" s="6"/>
    </row>
    <row r="767">
      <c r="B767" s="368"/>
      <c r="C767" s="368"/>
      <c r="D767" s="368"/>
      <c r="H767" s="6"/>
      <c r="I767" s="6"/>
      <c r="J767" s="6"/>
      <c r="K767" s="6"/>
      <c r="L767" s="6"/>
      <c r="M767" s="6"/>
      <c r="N767" s="6"/>
      <c r="O767" s="6"/>
    </row>
    <row r="768">
      <c r="B768" s="368"/>
      <c r="C768" s="368"/>
      <c r="D768" s="368"/>
      <c r="H768" s="6"/>
      <c r="I768" s="6"/>
      <c r="J768" s="6"/>
      <c r="K768" s="6"/>
      <c r="L768" s="6"/>
      <c r="M768" s="6"/>
      <c r="N768" s="6"/>
      <c r="O768" s="6"/>
    </row>
    <row r="769">
      <c r="B769" s="368"/>
      <c r="C769" s="368"/>
      <c r="D769" s="368"/>
      <c r="H769" s="6"/>
      <c r="I769" s="6"/>
      <c r="J769" s="6"/>
      <c r="K769" s="6"/>
      <c r="L769" s="6"/>
      <c r="M769" s="6"/>
      <c r="N769" s="6"/>
      <c r="O769" s="6"/>
    </row>
    <row r="770">
      <c r="B770" s="368"/>
      <c r="C770" s="368"/>
      <c r="D770" s="368"/>
      <c r="H770" s="6"/>
      <c r="I770" s="6"/>
      <c r="J770" s="6"/>
      <c r="K770" s="6"/>
      <c r="L770" s="6"/>
      <c r="M770" s="6"/>
      <c r="N770" s="6"/>
      <c r="O770" s="6"/>
    </row>
    <row r="771">
      <c r="B771" s="368"/>
      <c r="C771" s="368"/>
      <c r="D771" s="368"/>
      <c r="H771" s="6"/>
      <c r="I771" s="6"/>
      <c r="J771" s="6"/>
      <c r="K771" s="6"/>
      <c r="L771" s="6"/>
      <c r="M771" s="6"/>
      <c r="N771" s="6"/>
      <c r="O771" s="6"/>
    </row>
    <row r="772">
      <c r="B772" s="368"/>
      <c r="C772" s="368"/>
      <c r="D772" s="368"/>
      <c r="H772" s="6"/>
      <c r="I772" s="6"/>
      <c r="J772" s="6"/>
      <c r="K772" s="6"/>
      <c r="L772" s="6"/>
      <c r="M772" s="6"/>
      <c r="N772" s="6"/>
      <c r="O772" s="6"/>
    </row>
    <row r="773">
      <c r="B773" s="368"/>
      <c r="C773" s="368"/>
      <c r="D773" s="368"/>
      <c r="H773" s="6"/>
      <c r="I773" s="6"/>
      <c r="J773" s="6"/>
      <c r="K773" s="6"/>
      <c r="L773" s="6"/>
      <c r="M773" s="6"/>
      <c r="N773" s="6"/>
      <c r="O773" s="6"/>
    </row>
    <row r="774">
      <c r="B774" s="368"/>
      <c r="C774" s="368"/>
      <c r="D774" s="368"/>
      <c r="H774" s="6"/>
      <c r="I774" s="6"/>
      <c r="J774" s="6"/>
      <c r="K774" s="6"/>
      <c r="L774" s="6"/>
      <c r="M774" s="6"/>
      <c r="N774" s="6"/>
      <c r="O774" s="6"/>
    </row>
    <row r="775">
      <c r="B775" s="368"/>
      <c r="C775" s="368"/>
      <c r="D775" s="368"/>
      <c r="H775" s="6"/>
      <c r="I775" s="6"/>
      <c r="J775" s="6"/>
      <c r="K775" s="6"/>
      <c r="L775" s="6"/>
      <c r="M775" s="6"/>
      <c r="N775" s="6"/>
      <c r="O775" s="6"/>
    </row>
    <row r="776">
      <c r="B776" s="368"/>
      <c r="C776" s="368"/>
      <c r="D776" s="368"/>
      <c r="H776" s="6"/>
      <c r="I776" s="6"/>
      <c r="J776" s="6"/>
      <c r="K776" s="6"/>
      <c r="L776" s="6"/>
      <c r="M776" s="6"/>
      <c r="N776" s="6"/>
      <c r="O776" s="6"/>
    </row>
    <row r="777">
      <c r="B777" s="368"/>
      <c r="C777" s="368"/>
      <c r="D777" s="368"/>
      <c r="H777" s="6"/>
      <c r="I777" s="6"/>
      <c r="J777" s="6"/>
      <c r="K777" s="6"/>
      <c r="L777" s="6"/>
      <c r="M777" s="6"/>
      <c r="N777" s="6"/>
      <c r="O777" s="6"/>
    </row>
    <row r="778">
      <c r="B778" s="368"/>
      <c r="C778" s="368"/>
      <c r="D778" s="368"/>
      <c r="H778" s="6"/>
      <c r="I778" s="6"/>
      <c r="J778" s="6"/>
      <c r="K778" s="6"/>
      <c r="L778" s="6"/>
      <c r="M778" s="6"/>
      <c r="N778" s="6"/>
      <c r="O778" s="6"/>
    </row>
    <row r="779">
      <c r="B779" s="368"/>
      <c r="C779" s="368"/>
      <c r="D779" s="368"/>
      <c r="H779" s="6"/>
      <c r="I779" s="6"/>
      <c r="J779" s="6"/>
      <c r="K779" s="6"/>
      <c r="L779" s="6"/>
      <c r="M779" s="6"/>
      <c r="N779" s="6"/>
      <c r="O779" s="6"/>
    </row>
    <row r="780">
      <c r="B780" s="368"/>
      <c r="C780" s="368"/>
      <c r="D780" s="368"/>
      <c r="H780" s="6"/>
      <c r="I780" s="6"/>
      <c r="J780" s="6"/>
      <c r="K780" s="6"/>
      <c r="L780" s="6"/>
      <c r="M780" s="6"/>
      <c r="N780" s="6"/>
      <c r="O780" s="6"/>
    </row>
    <row r="781">
      <c r="B781" s="368"/>
      <c r="C781" s="368"/>
      <c r="D781" s="368"/>
      <c r="H781" s="6"/>
      <c r="I781" s="6"/>
      <c r="J781" s="6"/>
      <c r="K781" s="6"/>
      <c r="L781" s="6"/>
      <c r="M781" s="6"/>
      <c r="N781" s="6"/>
      <c r="O781" s="6"/>
    </row>
    <row r="782">
      <c r="B782" s="368"/>
      <c r="C782" s="368"/>
      <c r="D782" s="368"/>
      <c r="H782" s="6"/>
      <c r="I782" s="6"/>
      <c r="J782" s="6"/>
      <c r="K782" s="6"/>
      <c r="L782" s="6"/>
      <c r="M782" s="6"/>
      <c r="N782" s="6"/>
      <c r="O782" s="6"/>
    </row>
    <row r="783">
      <c r="B783" s="368"/>
      <c r="C783" s="368"/>
      <c r="D783" s="368"/>
      <c r="H783" s="6"/>
      <c r="I783" s="6"/>
      <c r="J783" s="6"/>
      <c r="K783" s="6"/>
      <c r="L783" s="6"/>
      <c r="M783" s="6"/>
      <c r="N783" s="6"/>
      <c r="O783" s="6"/>
    </row>
    <row r="784">
      <c r="B784" s="368"/>
      <c r="C784" s="368"/>
      <c r="D784" s="368"/>
      <c r="H784" s="6"/>
      <c r="I784" s="6"/>
      <c r="J784" s="6"/>
      <c r="K784" s="6"/>
      <c r="L784" s="6"/>
      <c r="M784" s="6"/>
      <c r="N784" s="6"/>
      <c r="O784" s="6"/>
    </row>
    <row r="785">
      <c r="B785" s="368"/>
      <c r="C785" s="368"/>
      <c r="D785" s="368"/>
      <c r="H785" s="6"/>
      <c r="I785" s="6"/>
      <c r="J785" s="6"/>
      <c r="K785" s="6"/>
      <c r="L785" s="6"/>
      <c r="M785" s="6"/>
      <c r="N785" s="6"/>
      <c r="O785" s="6"/>
    </row>
    <row r="786">
      <c r="B786" s="368"/>
      <c r="C786" s="368"/>
      <c r="D786" s="368"/>
      <c r="H786" s="6"/>
      <c r="I786" s="6"/>
      <c r="J786" s="6"/>
      <c r="K786" s="6"/>
      <c r="L786" s="6"/>
      <c r="M786" s="6"/>
      <c r="N786" s="6"/>
      <c r="O786" s="6"/>
    </row>
    <row r="787">
      <c r="B787" s="368"/>
      <c r="C787" s="368"/>
      <c r="D787" s="368"/>
      <c r="H787" s="6"/>
      <c r="I787" s="6"/>
      <c r="J787" s="6"/>
      <c r="K787" s="6"/>
      <c r="L787" s="6"/>
      <c r="M787" s="6"/>
      <c r="N787" s="6"/>
      <c r="O787" s="6"/>
    </row>
    <row r="788">
      <c r="B788" s="368"/>
      <c r="C788" s="368"/>
      <c r="D788" s="368"/>
      <c r="H788" s="6"/>
      <c r="I788" s="6"/>
      <c r="J788" s="6"/>
      <c r="K788" s="6"/>
      <c r="L788" s="6"/>
      <c r="M788" s="6"/>
      <c r="N788" s="6"/>
      <c r="O788" s="6"/>
    </row>
    <row r="789">
      <c r="B789" s="368"/>
      <c r="C789" s="368"/>
      <c r="D789" s="368"/>
      <c r="H789" s="6"/>
      <c r="I789" s="6"/>
      <c r="J789" s="6"/>
      <c r="K789" s="6"/>
      <c r="L789" s="6"/>
      <c r="M789" s="6"/>
      <c r="N789" s="6"/>
      <c r="O789" s="6"/>
    </row>
    <row r="790">
      <c r="B790" s="368"/>
      <c r="C790" s="368"/>
      <c r="D790" s="368"/>
      <c r="H790" s="6"/>
      <c r="I790" s="6"/>
      <c r="J790" s="6"/>
      <c r="K790" s="6"/>
      <c r="L790" s="6"/>
      <c r="M790" s="6"/>
      <c r="N790" s="6"/>
      <c r="O790" s="6"/>
    </row>
    <row r="791">
      <c r="B791" s="368"/>
      <c r="C791" s="368"/>
      <c r="D791" s="368"/>
      <c r="H791" s="6"/>
      <c r="I791" s="6"/>
      <c r="J791" s="6"/>
      <c r="K791" s="6"/>
      <c r="L791" s="6"/>
      <c r="M791" s="6"/>
      <c r="N791" s="6"/>
      <c r="O791" s="6"/>
    </row>
    <row r="792">
      <c r="B792" s="368"/>
      <c r="C792" s="368"/>
      <c r="D792" s="368"/>
      <c r="H792" s="6"/>
      <c r="I792" s="6"/>
      <c r="J792" s="6"/>
      <c r="K792" s="6"/>
      <c r="L792" s="6"/>
      <c r="M792" s="6"/>
      <c r="N792" s="6"/>
      <c r="O792" s="6"/>
    </row>
    <row r="793">
      <c r="B793" s="368"/>
      <c r="C793" s="368"/>
      <c r="D793" s="368"/>
      <c r="H793" s="6"/>
      <c r="I793" s="6"/>
      <c r="J793" s="6"/>
      <c r="K793" s="6"/>
      <c r="L793" s="6"/>
      <c r="M793" s="6"/>
      <c r="N793" s="6"/>
      <c r="O793" s="6"/>
    </row>
    <row r="794">
      <c r="B794" s="368"/>
      <c r="C794" s="368"/>
      <c r="D794" s="368"/>
      <c r="H794" s="6"/>
      <c r="I794" s="6"/>
      <c r="J794" s="6"/>
      <c r="K794" s="6"/>
      <c r="L794" s="6"/>
      <c r="M794" s="6"/>
      <c r="N794" s="6"/>
      <c r="O794" s="6"/>
    </row>
    <row r="795">
      <c r="B795" s="368"/>
      <c r="C795" s="368"/>
      <c r="D795" s="368"/>
      <c r="H795" s="6"/>
      <c r="I795" s="6"/>
      <c r="J795" s="6"/>
      <c r="K795" s="6"/>
      <c r="L795" s="6"/>
      <c r="M795" s="6"/>
      <c r="N795" s="6"/>
      <c r="O795" s="6"/>
    </row>
    <row r="796">
      <c r="B796" s="368"/>
      <c r="C796" s="368"/>
      <c r="D796" s="368"/>
      <c r="H796" s="6"/>
      <c r="I796" s="6"/>
      <c r="J796" s="6"/>
      <c r="K796" s="6"/>
      <c r="L796" s="6"/>
      <c r="M796" s="6"/>
      <c r="N796" s="6"/>
      <c r="O796" s="6"/>
    </row>
    <row r="797">
      <c r="B797" s="368"/>
      <c r="C797" s="368"/>
      <c r="D797" s="368"/>
      <c r="H797" s="6"/>
      <c r="I797" s="6"/>
      <c r="J797" s="6"/>
      <c r="K797" s="6"/>
      <c r="L797" s="6"/>
      <c r="M797" s="6"/>
      <c r="N797" s="6"/>
      <c r="O797" s="6"/>
    </row>
    <row r="798">
      <c r="B798" s="368"/>
      <c r="C798" s="368"/>
      <c r="D798" s="368"/>
      <c r="H798" s="6"/>
      <c r="I798" s="6"/>
      <c r="J798" s="6"/>
      <c r="K798" s="6"/>
      <c r="L798" s="6"/>
      <c r="M798" s="6"/>
      <c r="N798" s="6"/>
      <c r="O798" s="6"/>
    </row>
    <row r="799">
      <c r="B799" s="368"/>
      <c r="C799" s="368"/>
      <c r="D799" s="368"/>
      <c r="H799" s="6"/>
      <c r="I799" s="6"/>
      <c r="J799" s="6"/>
      <c r="K799" s="6"/>
      <c r="L799" s="6"/>
      <c r="M799" s="6"/>
      <c r="N799" s="6"/>
      <c r="O799" s="6"/>
    </row>
    <row r="800">
      <c r="B800" s="368"/>
      <c r="C800" s="368"/>
      <c r="D800" s="368"/>
      <c r="H800" s="6"/>
      <c r="I800" s="6"/>
      <c r="J800" s="6"/>
      <c r="K800" s="6"/>
      <c r="L800" s="6"/>
      <c r="M800" s="6"/>
      <c r="N800" s="6"/>
      <c r="O800" s="6"/>
    </row>
    <row r="801">
      <c r="B801" s="368"/>
      <c r="C801" s="368"/>
      <c r="D801" s="368"/>
      <c r="H801" s="6"/>
      <c r="I801" s="6"/>
      <c r="J801" s="6"/>
      <c r="K801" s="6"/>
      <c r="L801" s="6"/>
      <c r="M801" s="6"/>
      <c r="N801" s="6"/>
      <c r="O801" s="6"/>
    </row>
    <row r="802">
      <c r="B802" s="368"/>
      <c r="C802" s="368"/>
      <c r="D802" s="368"/>
      <c r="H802" s="6"/>
      <c r="I802" s="6"/>
      <c r="J802" s="6"/>
      <c r="K802" s="6"/>
      <c r="L802" s="6"/>
      <c r="M802" s="6"/>
      <c r="N802" s="6"/>
      <c r="O802" s="6"/>
    </row>
    <row r="803">
      <c r="B803" s="368"/>
      <c r="C803" s="368"/>
      <c r="D803" s="368"/>
      <c r="H803" s="6"/>
      <c r="I803" s="6"/>
      <c r="J803" s="6"/>
      <c r="K803" s="6"/>
      <c r="L803" s="6"/>
      <c r="M803" s="6"/>
      <c r="N803" s="6"/>
      <c r="O803" s="6"/>
    </row>
    <row r="804">
      <c r="B804" s="368"/>
      <c r="C804" s="368"/>
      <c r="D804" s="368"/>
      <c r="H804" s="6"/>
      <c r="I804" s="6"/>
      <c r="J804" s="6"/>
      <c r="K804" s="6"/>
      <c r="L804" s="6"/>
      <c r="M804" s="6"/>
      <c r="N804" s="6"/>
      <c r="O804" s="6"/>
    </row>
    <row r="805">
      <c r="B805" s="368"/>
      <c r="C805" s="368"/>
      <c r="D805" s="368"/>
      <c r="H805" s="6"/>
      <c r="I805" s="6"/>
      <c r="J805" s="6"/>
      <c r="K805" s="6"/>
      <c r="L805" s="6"/>
      <c r="M805" s="6"/>
      <c r="N805" s="6"/>
      <c r="O805" s="6"/>
    </row>
    <row r="806">
      <c r="B806" s="368"/>
      <c r="C806" s="368"/>
      <c r="D806" s="368"/>
      <c r="H806" s="6"/>
      <c r="I806" s="6"/>
      <c r="J806" s="6"/>
      <c r="K806" s="6"/>
      <c r="L806" s="6"/>
      <c r="M806" s="6"/>
      <c r="N806" s="6"/>
      <c r="O806" s="6"/>
    </row>
    <row r="807">
      <c r="B807" s="368"/>
      <c r="C807" s="368"/>
      <c r="D807" s="368"/>
      <c r="H807" s="6"/>
      <c r="I807" s="6"/>
      <c r="J807" s="6"/>
      <c r="K807" s="6"/>
      <c r="L807" s="6"/>
      <c r="M807" s="6"/>
      <c r="N807" s="6"/>
      <c r="O807" s="6"/>
    </row>
    <row r="808">
      <c r="B808" s="368"/>
      <c r="C808" s="368"/>
      <c r="D808" s="368"/>
      <c r="H808" s="6"/>
      <c r="I808" s="6"/>
      <c r="J808" s="6"/>
      <c r="K808" s="6"/>
      <c r="L808" s="6"/>
      <c r="M808" s="6"/>
      <c r="N808" s="6"/>
      <c r="O808" s="6"/>
    </row>
    <row r="809">
      <c r="B809" s="368"/>
      <c r="C809" s="368"/>
      <c r="D809" s="368"/>
      <c r="H809" s="6"/>
      <c r="I809" s="6"/>
      <c r="J809" s="6"/>
      <c r="K809" s="6"/>
      <c r="L809" s="6"/>
      <c r="M809" s="6"/>
      <c r="N809" s="6"/>
      <c r="O809" s="6"/>
    </row>
    <row r="810">
      <c r="B810" s="368"/>
      <c r="C810" s="368"/>
      <c r="D810" s="368"/>
      <c r="H810" s="6"/>
      <c r="I810" s="6"/>
      <c r="J810" s="6"/>
      <c r="K810" s="6"/>
      <c r="L810" s="6"/>
      <c r="M810" s="6"/>
      <c r="N810" s="6"/>
      <c r="O810" s="6"/>
    </row>
    <row r="811">
      <c r="B811" s="368"/>
      <c r="C811" s="368"/>
      <c r="D811" s="368"/>
      <c r="H811" s="6"/>
      <c r="I811" s="6"/>
      <c r="J811" s="6"/>
      <c r="K811" s="6"/>
      <c r="L811" s="6"/>
      <c r="M811" s="6"/>
      <c r="N811" s="6"/>
      <c r="O811" s="6"/>
    </row>
    <row r="812">
      <c r="B812" s="368"/>
      <c r="C812" s="368"/>
      <c r="D812" s="368"/>
      <c r="H812" s="6"/>
      <c r="I812" s="6"/>
      <c r="J812" s="6"/>
      <c r="K812" s="6"/>
      <c r="L812" s="6"/>
      <c r="M812" s="6"/>
      <c r="N812" s="6"/>
      <c r="O812" s="6"/>
    </row>
    <row r="813">
      <c r="B813" s="368"/>
      <c r="C813" s="368"/>
      <c r="D813" s="368"/>
      <c r="H813" s="6"/>
      <c r="I813" s="6"/>
      <c r="J813" s="6"/>
      <c r="K813" s="6"/>
      <c r="L813" s="6"/>
      <c r="M813" s="6"/>
      <c r="N813" s="6"/>
      <c r="O813" s="6"/>
    </row>
    <row r="814">
      <c r="B814" s="368"/>
      <c r="C814" s="368"/>
      <c r="D814" s="368"/>
      <c r="H814" s="6"/>
      <c r="I814" s="6"/>
      <c r="J814" s="6"/>
      <c r="K814" s="6"/>
      <c r="L814" s="6"/>
      <c r="M814" s="6"/>
      <c r="N814" s="6"/>
      <c r="O814" s="6"/>
    </row>
    <row r="815">
      <c r="B815" s="368"/>
      <c r="C815" s="368"/>
      <c r="D815" s="368"/>
      <c r="H815" s="6"/>
      <c r="I815" s="6"/>
      <c r="J815" s="6"/>
      <c r="K815" s="6"/>
      <c r="L815" s="6"/>
      <c r="M815" s="6"/>
      <c r="N815" s="6"/>
      <c r="O815" s="6"/>
    </row>
    <row r="816">
      <c r="B816" s="368"/>
      <c r="C816" s="368"/>
      <c r="D816" s="368"/>
      <c r="H816" s="6"/>
      <c r="I816" s="6"/>
      <c r="J816" s="6"/>
      <c r="K816" s="6"/>
      <c r="L816" s="6"/>
      <c r="M816" s="6"/>
      <c r="N816" s="6"/>
      <c r="O816" s="6"/>
    </row>
    <row r="817">
      <c r="B817" s="368"/>
      <c r="C817" s="368"/>
      <c r="D817" s="368"/>
      <c r="H817" s="6"/>
      <c r="I817" s="6"/>
      <c r="J817" s="6"/>
      <c r="K817" s="6"/>
      <c r="L817" s="6"/>
      <c r="M817" s="6"/>
      <c r="N817" s="6"/>
      <c r="O817" s="6"/>
    </row>
    <row r="818">
      <c r="B818" s="368"/>
      <c r="C818" s="368"/>
      <c r="D818" s="368"/>
      <c r="H818" s="6"/>
      <c r="I818" s="6"/>
      <c r="J818" s="6"/>
      <c r="K818" s="6"/>
      <c r="L818" s="6"/>
      <c r="M818" s="6"/>
      <c r="N818" s="6"/>
      <c r="O818" s="6"/>
    </row>
    <row r="819">
      <c r="B819" s="368"/>
      <c r="C819" s="368"/>
      <c r="D819" s="368"/>
      <c r="H819" s="6"/>
      <c r="I819" s="6"/>
      <c r="J819" s="6"/>
      <c r="K819" s="6"/>
      <c r="L819" s="6"/>
      <c r="M819" s="6"/>
      <c r="N819" s="6"/>
      <c r="O819" s="6"/>
    </row>
    <row r="820">
      <c r="B820" s="368"/>
      <c r="C820" s="368"/>
      <c r="D820" s="368"/>
      <c r="H820" s="6"/>
      <c r="I820" s="6"/>
      <c r="J820" s="6"/>
      <c r="K820" s="6"/>
      <c r="L820" s="6"/>
      <c r="M820" s="6"/>
      <c r="N820" s="6"/>
      <c r="O820" s="6"/>
    </row>
    <row r="821">
      <c r="B821" s="368"/>
      <c r="C821" s="368"/>
      <c r="D821" s="368"/>
      <c r="H821" s="6"/>
      <c r="I821" s="6"/>
      <c r="J821" s="6"/>
      <c r="K821" s="6"/>
      <c r="L821" s="6"/>
      <c r="M821" s="6"/>
      <c r="N821" s="6"/>
      <c r="O821" s="6"/>
    </row>
    <row r="822">
      <c r="B822" s="368"/>
      <c r="C822" s="368"/>
      <c r="D822" s="368"/>
      <c r="H822" s="6"/>
      <c r="I822" s="6"/>
      <c r="J822" s="6"/>
      <c r="K822" s="6"/>
      <c r="L822" s="6"/>
      <c r="M822" s="6"/>
      <c r="N822" s="6"/>
      <c r="O822" s="6"/>
    </row>
    <row r="823">
      <c r="B823" s="368"/>
      <c r="C823" s="368"/>
      <c r="D823" s="368"/>
      <c r="H823" s="6"/>
      <c r="I823" s="6"/>
      <c r="J823" s="6"/>
      <c r="K823" s="6"/>
      <c r="L823" s="6"/>
      <c r="M823" s="6"/>
      <c r="N823" s="6"/>
      <c r="O823" s="6"/>
    </row>
    <row r="824">
      <c r="B824" s="368"/>
      <c r="C824" s="368"/>
      <c r="D824" s="368"/>
      <c r="H824" s="6"/>
      <c r="I824" s="6"/>
      <c r="J824" s="6"/>
      <c r="K824" s="6"/>
      <c r="L824" s="6"/>
      <c r="M824" s="6"/>
      <c r="N824" s="6"/>
      <c r="O824" s="6"/>
    </row>
    <row r="825">
      <c r="B825" s="368"/>
      <c r="C825" s="368"/>
      <c r="D825" s="368"/>
      <c r="H825" s="6"/>
      <c r="I825" s="6"/>
      <c r="J825" s="6"/>
      <c r="K825" s="6"/>
      <c r="L825" s="6"/>
      <c r="M825" s="6"/>
      <c r="N825" s="6"/>
      <c r="O825" s="6"/>
    </row>
    <row r="826">
      <c r="B826" s="368"/>
      <c r="C826" s="368"/>
      <c r="D826" s="368"/>
      <c r="H826" s="6"/>
      <c r="I826" s="6"/>
      <c r="J826" s="6"/>
      <c r="K826" s="6"/>
      <c r="L826" s="6"/>
      <c r="M826" s="6"/>
      <c r="N826" s="6"/>
      <c r="O826" s="6"/>
    </row>
    <row r="827">
      <c r="B827" s="368"/>
      <c r="C827" s="368"/>
      <c r="D827" s="368"/>
      <c r="H827" s="6"/>
      <c r="I827" s="6"/>
      <c r="J827" s="6"/>
      <c r="K827" s="6"/>
      <c r="L827" s="6"/>
      <c r="M827" s="6"/>
      <c r="N827" s="6"/>
      <c r="O827" s="6"/>
    </row>
    <row r="828">
      <c r="B828" s="368"/>
      <c r="C828" s="368"/>
      <c r="D828" s="368"/>
      <c r="H828" s="6"/>
      <c r="I828" s="6"/>
      <c r="J828" s="6"/>
      <c r="K828" s="6"/>
      <c r="L828" s="6"/>
      <c r="M828" s="6"/>
      <c r="N828" s="6"/>
      <c r="O828" s="6"/>
    </row>
    <row r="829">
      <c r="B829" s="368"/>
      <c r="C829" s="368"/>
      <c r="D829" s="368"/>
      <c r="H829" s="6"/>
      <c r="I829" s="6"/>
      <c r="J829" s="6"/>
      <c r="K829" s="6"/>
      <c r="L829" s="6"/>
      <c r="M829" s="6"/>
      <c r="N829" s="6"/>
      <c r="O829" s="6"/>
    </row>
    <row r="830">
      <c r="B830" s="368"/>
      <c r="C830" s="368"/>
      <c r="D830" s="368"/>
      <c r="H830" s="6"/>
      <c r="I830" s="6"/>
      <c r="J830" s="6"/>
      <c r="K830" s="6"/>
      <c r="L830" s="6"/>
      <c r="M830" s="6"/>
      <c r="N830" s="6"/>
      <c r="O830" s="6"/>
    </row>
    <row r="831">
      <c r="B831" s="368"/>
      <c r="C831" s="368"/>
      <c r="D831" s="368"/>
      <c r="H831" s="6"/>
      <c r="I831" s="6"/>
      <c r="J831" s="6"/>
      <c r="K831" s="6"/>
      <c r="L831" s="6"/>
      <c r="M831" s="6"/>
      <c r="N831" s="6"/>
      <c r="O831" s="6"/>
    </row>
    <row r="832">
      <c r="B832" s="368"/>
      <c r="C832" s="368"/>
      <c r="D832" s="368"/>
      <c r="H832" s="6"/>
      <c r="I832" s="6"/>
      <c r="J832" s="6"/>
      <c r="K832" s="6"/>
      <c r="L832" s="6"/>
      <c r="M832" s="6"/>
      <c r="N832" s="6"/>
      <c r="O832" s="6"/>
    </row>
    <row r="833">
      <c r="B833" s="368"/>
      <c r="C833" s="368"/>
      <c r="D833" s="368"/>
      <c r="H833" s="6"/>
      <c r="I833" s="6"/>
      <c r="J833" s="6"/>
      <c r="K833" s="6"/>
      <c r="L833" s="6"/>
      <c r="M833" s="6"/>
      <c r="N833" s="6"/>
      <c r="O833" s="6"/>
    </row>
    <row r="834">
      <c r="B834" s="368"/>
      <c r="C834" s="368"/>
      <c r="D834" s="368"/>
      <c r="H834" s="6"/>
      <c r="I834" s="6"/>
      <c r="J834" s="6"/>
      <c r="K834" s="6"/>
      <c r="L834" s="6"/>
      <c r="M834" s="6"/>
      <c r="N834" s="6"/>
      <c r="O834" s="6"/>
    </row>
    <row r="835">
      <c r="B835" s="368"/>
      <c r="C835" s="368"/>
      <c r="D835" s="368"/>
      <c r="H835" s="6"/>
      <c r="I835" s="6"/>
      <c r="J835" s="6"/>
      <c r="K835" s="6"/>
      <c r="L835" s="6"/>
      <c r="M835" s="6"/>
      <c r="N835" s="6"/>
      <c r="O835" s="6"/>
    </row>
    <row r="836">
      <c r="B836" s="368"/>
      <c r="C836" s="368"/>
      <c r="D836" s="368"/>
      <c r="H836" s="6"/>
      <c r="I836" s="6"/>
      <c r="J836" s="6"/>
      <c r="K836" s="6"/>
      <c r="L836" s="6"/>
      <c r="M836" s="6"/>
      <c r="N836" s="6"/>
      <c r="O836" s="6"/>
    </row>
    <row r="837">
      <c r="B837" s="368"/>
      <c r="C837" s="368"/>
      <c r="D837" s="368"/>
      <c r="H837" s="6"/>
      <c r="I837" s="6"/>
      <c r="J837" s="6"/>
      <c r="K837" s="6"/>
      <c r="L837" s="6"/>
      <c r="M837" s="6"/>
      <c r="N837" s="6"/>
      <c r="O837" s="6"/>
    </row>
    <row r="838">
      <c r="B838" s="368"/>
      <c r="C838" s="368"/>
      <c r="D838" s="368"/>
      <c r="H838" s="6"/>
      <c r="I838" s="6"/>
      <c r="J838" s="6"/>
      <c r="K838" s="6"/>
      <c r="L838" s="6"/>
      <c r="M838" s="6"/>
      <c r="N838" s="6"/>
      <c r="O838" s="6"/>
    </row>
    <row r="839">
      <c r="B839" s="368"/>
      <c r="C839" s="368"/>
      <c r="D839" s="368"/>
      <c r="H839" s="6"/>
      <c r="I839" s="6"/>
      <c r="J839" s="6"/>
      <c r="K839" s="6"/>
      <c r="L839" s="6"/>
      <c r="M839" s="6"/>
      <c r="N839" s="6"/>
      <c r="O839" s="6"/>
    </row>
    <row r="840">
      <c r="B840" s="368"/>
      <c r="C840" s="368"/>
      <c r="D840" s="368"/>
      <c r="H840" s="6"/>
      <c r="I840" s="6"/>
      <c r="J840" s="6"/>
      <c r="K840" s="6"/>
      <c r="L840" s="6"/>
      <c r="M840" s="6"/>
      <c r="N840" s="6"/>
      <c r="O840" s="6"/>
    </row>
    <row r="841">
      <c r="B841" s="368"/>
      <c r="C841" s="368"/>
      <c r="D841" s="368"/>
      <c r="H841" s="6"/>
      <c r="I841" s="6"/>
      <c r="J841" s="6"/>
      <c r="K841" s="6"/>
      <c r="L841" s="6"/>
      <c r="M841" s="6"/>
      <c r="N841" s="6"/>
      <c r="O841" s="6"/>
    </row>
    <row r="842">
      <c r="B842" s="368"/>
      <c r="C842" s="368"/>
      <c r="D842" s="368"/>
      <c r="H842" s="6"/>
      <c r="I842" s="6"/>
      <c r="J842" s="6"/>
      <c r="K842" s="6"/>
      <c r="L842" s="6"/>
      <c r="M842" s="6"/>
      <c r="N842" s="6"/>
      <c r="O842" s="6"/>
    </row>
    <row r="843">
      <c r="B843" s="368"/>
      <c r="C843" s="368"/>
      <c r="D843" s="368"/>
      <c r="H843" s="6"/>
      <c r="I843" s="6"/>
      <c r="J843" s="6"/>
      <c r="K843" s="6"/>
      <c r="L843" s="6"/>
      <c r="M843" s="6"/>
      <c r="N843" s="6"/>
      <c r="O843" s="6"/>
    </row>
    <row r="844">
      <c r="B844" s="368"/>
      <c r="C844" s="368"/>
      <c r="D844" s="368"/>
      <c r="H844" s="6"/>
      <c r="I844" s="6"/>
      <c r="J844" s="6"/>
      <c r="K844" s="6"/>
      <c r="L844" s="6"/>
      <c r="M844" s="6"/>
      <c r="N844" s="6"/>
      <c r="O844" s="6"/>
    </row>
    <row r="845">
      <c r="B845" s="368"/>
      <c r="C845" s="368"/>
      <c r="D845" s="368"/>
      <c r="H845" s="6"/>
      <c r="I845" s="6"/>
      <c r="J845" s="6"/>
      <c r="K845" s="6"/>
      <c r="L845" s="6"/>
      <c r="M845" s="6"/>
      <c r="N845" s="6"/>
      <c r="O845" s="6"/>
    </row>
    <row r="846">
      <c r="B846" s="368"/>
      <c r="C846" s="368"/>
      <c r="D846" s="368"/>
      <c r="H846" s="6"/>
      <c r="I846" s="6"/>
      <c r="J846" s="6"/>
      <c r="K846" s="6"/>
      <c r="L846" s="6"/>
      <c r="M846" s="6"/>
      <c r="N846" s="6"/>
      <c r="O846" s="6"/>
    </row>
    <row r="847">
      <c r="B847" s="368"/>
      <c r="C847" s="368"/>
      <c r="D847" s="368"/>
      <c r="H847" s="6"/>
      <c r="I847" s="6"/>
      <c r="J847" s="6"/>
      <c r="K847" s="6"/>
      <c r="L847" s="6"/>
      <c r="M847" s="6"/>
      <c r="N847" s="6"/>
      <c r="O847" s="6"/>
    </row>
    <row r="848">
      <c r="B848" s="368"/>
      <c r="C848" s="368"/>
      <c r="D848" s="368"/>
      <c r="H848" s="6"/>
      <c r="I848" s="6"/>
      <c r="J848" s="6"/>
      <c r="K848" s="6"/>
      <c r="L848" s="6"/>
      <c r="M848" s="6"/>
      <c r="N848" s="6"/>
      <c r="O848" s="6"/>
    </row>
    <row r="849">
      <c r="B849" s="368"/>
      <c r="C849" s="368"/>
      <c r="D849" s="368"/>
      <c r="H849" s="6"/>
      <c r="I849" s="6"/>
      <c r="J849" s="6"/>
      <c r="K849" s="6"/>
      <c r="L849" s="6"/>
      <c r="M849" s="6"/>
      <c r="N849" s="6"/>
      <c r="O849" s="6"/>
    </row>
    <row r="850">
      <c r="B850" s="368"/>
      <c r="C850" s="368"/>
      <c r="D850" s="368"/>
      <c r="H850" s="6"/>
      <c r="I850" s="6"/>
      <c r="J850" s="6"/>
      <c r="K850" s="6"/>
      <c r="L850" s="6"/>
      <c r="M850" s="6"/>
      <c r="N850" s="6"/>
      <c r="O850" s="6"/>
    </row>
    <row r="851">
      <c r="B851" s="368"/>
      <c r="C851" s="368"/>
      <c r="D851" s="368"/>
      <c r="H851" s="6"/>
      <c r="I851" s="6"/>
      <c r="J851" s="6"/>
      <c r="K851" s="6"/>
      <c r="L851" s="6"/>
      <c r="M851" s="6"/>
      <c r="N851" s="6"/>
      <c r="O851" s="6"/>
    </row>
    <row r="852">
      <c r="B852" s="368"/>
      <c r="C852" s="368"/>
      <c r="D852" s="368"/>
      <c r="H852" s="6"/>
      <c r="I852" s="6"/>
      <c r="J852" s="6"/>
      <c r="K852" s="6"/>
      <c r="L852" s="6"/>
      <c r="M852" s="6"/>
      <c r="N852" s="6"/>
      <c r="O852" s="6"/>
    </row>
    <row r="853">
      <c r="B853" s="368"/>
      <c r="C853" s="368"/>
      <c r="D853" s="368"/>
      <c r="H853" s="6"/>
      <c r="I853" s="6"/>
      <c r="J853" s="6"/>
      <c r="K853" s="6"/>
      <c r="L853" s="6"/>
      <c r="M853" s="6"/>
      <c r="N853" s="6"/>
      <c r="O853" s="6"/>
    </row>
    <row r="854">
      <c r="B854" s="368"/>
      <c r="C854" s="368"/>
      <c r="D854" s="368"/>
      <c r="H854" s="6"/>
      <c r="I854" s="6"/>
      <c r="J854" s="6"/>
      <c r="K854" s="6"/>
      <c r="L854" s="6"/>
      <c r="M854" s="6"/>
      <c r="N854" s="6"/>
      <c r="O854" s="6"/>
    </row>
    <row r="855">
      <c r="B855" s="368"/>
      <c r="C855" s="368"/>
      <c r="D855" s="368"/>
      <c r="H855" s="6"/>
      <c r="I855" s="6"/>
      <c r="J855" s="6"/>
      <c r="K855" s="6"/>
      <c r="L855" s="6"/>
      <c r="M855" s="6"/>
      <c r="N855" s="6"/>
      <c r="O855" s="6"/>
    </row>
    <row r="856">
      <c r="B856" s="368"/>
      <c r="C856" s="368"/>
      <c r="D856" s="368"/>
      <c r="H856" s="6"/>
      <c r="I856" s="6"/>
      <c r="J856" s="6"/>
      <c r="K856" s="6"/>
      <c r="L856" s="6"/>
      <c r="M856" s="6"/>
      <c r="N856" s="6"/>
      <c r="O856" s="6"/>
    </row>
    <row r="857">
      <c r="B857" s="368"/>
      <c r="C857" s="368"/>
      <c r="D857" s="368"/>
      <c r="H857" s="6"/>
      <c r="I857" s="6"/>
      <c r="J857" s="6"/>
      <c r="K857" s="6"/>
      <c r="L857" s="6"/>
      <c r="M857" s="6"/>
      <c r="N857" s="6"/>
      <c r="O857" s="6"/>
    </row>
    <row r="858">
      <c r="B858" s="368"/>
      <c r="C858" s="368"/>
      <c r="D858" s="368"/>
      <c r="H858" s="6"/>
      <c r="I858" s="6"/>
      <c r="J858" s="6"/>
      <c r="K858" s="6"/>
      <c r="L858" s="6"/>
      <c r="M858" s="6"/>
      <c r="N858" s="6"/>
      <c r="O858" s="6"/>
    </row>
    <row r="859">
      <c r="B859" s="368"/>
      <c r="C859" s="368"/>
      <c r="D859" s="368"/>
      <c r="H859" s="6"/>
      <c r="I859" s="6"/>
      <c r="J859" s="6"/>
      <c r="K859" s="6"/>
      <c r="L859" s="6"/>
      <c r="M859" s="6"/>
      <c r="N859" s="6"/>
      <c r="O859" s="6"/>
    </row>
    <row r="860">
      <c r="B860" s="368"/>
      <c r="C860" s="368"/>
      <c r="D860" s="368"/>
      <c r="H860" s="6"/>
      <c r="I860" s="6"/>
      <c r="J860" s="6"/>
      <c r="K860" s="6"/>
      <c r="L860" s="6"/>
      <c r="M860" s="6"/>
      <c r="N860" s="6"/>
      <c r="O860" s="6"/>
    </row>
    <row r="861">
      <c r="B861" s="368"/>
      <c r="C861" s="368"/>
      <c r="D861" s="368"/>
      <c r="H861" s="6"/>
      <c r="I861" s="6"/>
      <c r="J861" s="6"/>
      <c r="K861" s="6"/>
      <c r="L861" s="6"/>
      <c r="M861" s="6"/>
      <c r="N861" s="6"/>
      <c r="O861" s="6"/>
    </row>
    <row r="862">
      <c r="B862" s="368"/>
      <c r="C862" s="368"/>
      <c r="D862" s="368"/>
      <c r="H862" s="6"/>
      <c r="I862" s="6"/>
      <c r="J862" s="6"/>
      <c r="K862" s="6"/>
      <c r="L862" s="6"/>
      <c r="M862" s="6"/>
      <c r="N862" s="6"/>
      <c r="O862" s="6"/>
    </row>
    <row r="863">
      <c r="B863" s="368"/>
      <c r="C863" s="368"/>
      <c r="D863" s="368"/>
      <c r="H863" s="6"/>
      <c r="I863" s="6"/>
      <c r="J863" s="6"/>
      <c r="K863" s="6"/>
      <c r="L863" s="6"/>
      <c r="M863" s="6"/>
      <c r="N863" s="6"/>
      <c r="O863" s="6"/>
    </row>
    <row r="864">
      <c r="B864" s="368"/>
      <c r="C864" s="368"/>
      <c r="D864" s="368"/>
      <c r="H864" s="6"/>
      <c r="I864" s="6"/>
      <c r="J864" s="6"/>
      <c r="K864" s="6"/>
      <c r="L864" s="6"/>
      <c r="M864" s="6"/>
      <c r="N864" s="6"/>
      <c r="O864" s="6"/>
    </row>
    <row r="865">
      <c r="B865" s="368"/>
      <c r="C865" s="368"/>
      <c r="D865" s="368"/>
      <c r="H865" s="6"/>
      <c r="I865" s="6"/>
      <c r="J865" s="6"/>
      <c r="K865" s="6"/>
      <c r="L865" s="6"/>
      <c r="M865" s="6"/>
      <c r="N865" s="6"/>
      <c r="O865" s="6"/>
    </row>
    <row r="866">
      <c r="B866" s="368"/>
      <c r="C866" s="368"/>
      <c r="D866" s="368"/>
      <c r="H866" s="6"/>
      <c r="I866" s="6"/>
      <c r="J866" s="6"/>
      <c r="K866" s="6"/>
      <c r="L866" s="6"/>
      <c r="M866" s="6"/>
      <c r="N866" s="6"/>
      <c r="O866" s="6"/>
    </row>
    <row r="867">
      <c r="B867" s="368"/>
      <c r="C867" s="368"/>
      <c r="D867" s="368"/>
      <c r="H867" s="6"/>
      <c r="I867" s="6"/>
      <c r="J867" s="6"/>
      <c r="K867" s="6"/>
      <c r="L867" s="6"/>
      <c r="M867" s="6"/>
      <c r="N867" s="6"/>
      <c r="O867" s="6"/>
    </row>
    <row r="868">
      <c r="B868" s="368"/>
      <c r="C868" s="368"/>
      <c r="D868" s="368"/>
      <c r="H868" s="6"/>
      <c r="I868" s="6"/>
      <c r="J868" s="6"/>
      <c r="K868" s="6"/>
      <c r="L868" s="6"/>
      <c r="M868" s="6"/>
      <c r="N868" s="6"/>
      <c r="O868" s="6"/>
    </row>
    <row r="869">
      <c r="B869" s="368"/>
      <c r="C869" s="368"/>
      <c r="D869" s="368"/>
      <c r="H869" s="6"/>
      <c r="I869" s="6"/>
      <c r="J869" s="6"/>
      <c r="K869" s="6"/>
      <c r="L869" s="6"/>
      <c r="M869" s="6"/>
      <c r="N869" s="6"/>
      <c r="O869" s="6"/>
    </row>
    <row r="870">
      <c r="B870" s="368"/>
      <c r="C870" s="368"/>
      <c r="D870" s="368"/>
      <c r="H870" s="6"/>
      <c r="I870" s="6"/>
      <c r="J870" s="6"/>
      <c r="K870" s="6"/>
      <c r="L870" s="6"/>
      <c r="M870" s="6"/>
      <c r="N870" s="6"/>
      <c r="O870" s="6"/>
    </row>
    <row r="871">
      <c r="B871" s="368"/>
      <c r="C871" s="368"/>
      <c r="D871" s="368"/>
      <c r="H871" s="6"/>
      <c r="I871" s="6"/>
      <c r="J871" s="6"/>
      <c r="K871" s="6"/>
      <c r="L871" s="6"/>
      <c r="M871" s="6"/>
      <c r="N871" s="6"/>
      <c r="O871" s="6"/>
    </row>
    <row r="872">
      <c r="B872" s="368"/>
      <c r="C872" s="368"/>
      <c r="D872" s="368"/>
      <c r="H872" s="6"/>
      <c r="I872" s="6"/>
      <c r="J872" s="6"/>
      <c r="K872" s="6"/>
      <c r="L872" s="6"/>
      <c r="M872" s="6"/>
      <c r="N872" s="6"/>
      <c r="O872" s="6"/>
    </row>
    <row r="873">
      <c r="B873" s="368"/>
      <c r="C873" s="368"/>
      <c r="D873" s="368"/>
      <c r="H873" s="6"/>
      <c r="I873" s="6"/>
      <c r="J873" s="6"/>
      <c r="K873" s="6"/>
      <c r="L873" s="6"/>
      <c r="M873" s="6"/>
      <c r="N873" s="6"/>
      <c r="O873" s="6"/>
    </row>
    <row r="874">
      <c r="B874" s="368"/>
      <c r="C874" s="368"/>
      <c r="D874" s="368"/>
      <c r="H874" s="6"/>
      <c r="I874" s="6"/>
      <c r="J874" s="6"/>
      <c r="K874" s="6"/>
      <c r="L874" s="6"/>
      <c r="M874" s="6"/>
      <c r="N874" s="6"/>
      <c r="O874" s="6"/>
    </row>
    <row r="875">
      <c r="B875" s="368"/>
      <c r="C875" s="368"/>
      <c r="D875" s="368"/>
      <c r="H875" s="6"/>
      <c r="I875" s="6"/>
      <c r="J875" s="6"/>
      <c r="K875" s="6"/>
      <c r="L875" s="6"/>
      <c r="M875" s="6"/>
      <c r="N875" s="6"/>
      <c r="O875" s="6"/>
    </row>
    <row r="876">
      <c r="B876" s="368"/>
      <c r="C876" s="368"/>
      <c r="D876" s="368"/>
      <c r="H876" s="6"/>
      <c r="I876" s="6"/>
      <c r="J876" s="6"/>
      <c r="K876" s="6"/>
      <c r="L876" s="6"/>
      <c r="M876" s="6"/>
      <c r="N876" s="6"/>
      <c r="O876" s="6"/>
    </row>
    <row r="877">
      <c r="B877" s="368"/>
      <c r="C877" s="368"/>
      <c r="D877" s="368"/>
      <c r="H877" s="6"/>
      <c r="I877" s="6"/>
      <c r="J877" s="6"/>
      <c r="K877" s="6"/>
      <c r="L877" s="6"/>
      <c r="M877" s="6"/>
      <c r="N877" s="6"/>
      <c r="O877" s="6"/>
    </row>
    <row r="878">
      <c r="B878" s="368"/>
      <c r="C878" s="368"/>
      <c r="D878" s="368"/>
      <c r="H878" s="6"/>
      <c r="I878" s="6"/>
      <c r="J878" s="6"/>
      <c r="K878" s="6"/>
      <c r="L878" s="6"/>
      <c r="M878" s="6"/>
      <c r="N878" s="6"/>
      <c r="O878" s="6"/>
    </row>
    <row r="879">
      <c r="B879" s="368"/>
      <c r="C879" s="368"/>
      <c r="D879" s="368"/>
      <c r="H879" s="6"/>
      <c r="I879" s="6"/>
      <c r="J879" s="6"/>
      <c r="K879" s="6"/>
      <c r="L879" s="6"/>
      <c r="M879" s="6"/>
      <c r="N879" s="6"/>
      <c r="O879" s="6"/>
    </row>
    <row r="880">
      <c r="B880" s="368"/>
      <c r="C880" s="368"/>
      <c r="D880" s="368"/>
      <c r="H880" s="6"/>
      <c r="I880" s="6"/>
      <c r="J880" s="6"/>
      <c r="K880" s="6"/>
      <c r="L880" s="6"/>
      <c r="M880" s="6"/>
      <c r="N880" s="6"/>
      <c r="O880" s="6"/>
    </row>
    <row r="881">
      <c r="B881" s="368"/>
      <c r="C881" s="368"/>
      <c r="D881" s="368"/>
      <c r="H881" s="6"/>
      <c r="I881" s="6"/>
      <c r="J881" s="6"/>
      <c r="K881" s="6"/>
      <c r="L881" s="6"/>
      <c r="M881" s="6"/>
      <c r="N881" s="6"/>
      <c r="O881" s="6"/>
    </row>
    <row r="882">
      <c r="B882" s="368"/>
      <c r="C882" s="368"/>
      <c r="D882" s="368"/>
      <c r="H882" s="6"/>
      <c r="I882" s="6"/>
      <c r="J882" s="6"/>
      <c r="K882" s="6"/>
      <c r="L882" s="6"/>
      <c r="M882" s="6"/>
      <c r="N882" s="6"/>
      <c r="O882" s="6"/>
    </row>
    <row r="883">
      <c r="B883" s="368"/>
      <c r="C883" s="368"/>
      <c r="D883" s="368"/>
      <c r="H883" s="6"/>
      <c r="I883" s="6"/>
      <c r="J883" s="6"/>
      <c r="K883" s="6"/>
      <c r="L883" s="6"/>
      <c r="M883" s="6"/>
      <c r="N883" s="6"/>
      <c r="O883" s="6"/>
    </row>
    <row r="884">
      <c r="B884" s="368"/>
      <c r="C884" s="368"/>
      <c r="D884" s="368"/>
      <c r="H884" s="6"/>
      <c r="I884" s="6"/>
      <c r="J884" s="6"/>
      <c r="K884" s="6"/>
      <c r="L884" s="6"/>
      <c r="M884" s="6"/>
      <c r="N884" s="6"/>
      <c r="O884" s="6"/>
    </row>
    <row r="885">
      <c r="B885" s="368"/>
      <c r="C885" s="368"/>
      <c r="D885" s="368"/>
      <c r="H885" s="6"/>
      <c r="I885" s="6"/>
      <c r="J885" s="6"/>
      <c r="K885" s="6"/>
      <c r="L885" s="6"/>
      <c r="M885" s="6"/>
      <c r="N885" s="6"/>
      <c r="O885" s="6"/>
    </row>
    <row r="886">
      <c r="B886" s="368"/>
      <c r="C886" s="368"/>
      <c r="D886" s="368"/>
      <c r="H886" s="6"/>
      <c r="I886" s="6"/>
      <c r="J886" s="6"/>
      <c r="K886" s="6"/>
      <c r="L886" s="6"/>
      <c r="M886" s="6"/>
      <c r="N886" s="6"/>
      <c r="O886" s="6"/>
    </row>
    <row r="887">
      <c r="B887" s="368"/>
      <c r="C887" s="368"/>
      <c r="D887" s="368"/>
      <c r="H887" s="6"/>
      <c r="I887" s="6"/>
      <c r="J887" s="6"/>
      <c r="K887" s="6"/>
      <c r="L887" s="6"/>
      <c r="M887" s="6"/>
      <c r="N887" s="6"/>
      <c r="O887" s="6"/>
    </row>
    <row r="888">
      <c r="B888" s="368"/>
      <c r="C888" s="368"/>
      <c r="D888" s="368"/>
      <c r="H888" s="6"/>
      <c r="I888" s="6"/>
      <c r="J888" s="6"/>
      <c r="K888" s="6"/>
      <c r="L888" s="6"/>
      <c r="M888" s="6"/>
      <c r="N888" s="6"/>
      <c r="O888" s="6"/>
    </row>
    <row r="889">
      <c r="B889" s="368"/>
      <c r="C889" s="368"/>
      <c r="D889" s="368"/>
      <c r="H889" s="6"/>
      <c r="I889" s="6"/>
      <c r="J889" s="6"/>
      <c r="K889" s="6"/>
      <c r="L889" s="6"/>
      <c r="M889" s="6"/>
      <c r="N889" s="6"/>
      <c r="O889" s="6"/>
    </row>
    <row r="890">
      <c r="B890" s="368"/>
      <c r="C890" s="368"/>
      <c r="D890" s="368"/>
      <c r="H890" s="6"/>
      <c r="I890" s="6"/>
      <c r="J890" s="6"/>
      <c r="K890" s="6"/>
      <c r="L890" s="6"/>
      <c r="M890" s="6"/>
      <c r="N890" s="6"/>
      <c r="O890" s="6"/>
    </row>
    <row r="891">
      <c r="B891" s="368"/>
      <c r="C891" s="368"/>
      <c r="D891" s="368"/>
      <c r="H891" s="6"/>
      <c r="I891" s="6"/>
      <c r="J891" s="6"/>
      <c r="K891" s="6"/>
      <c r="L891" s="6"/>
      <c r="M891" s="6"/>
      <c r="N891" s="6"/>
      <c r="O891" s="6"/>
    </row>
    <row r="892">
      <c r="B892" s="368"/>
      <c r="C892" s="368"/>
      <c r="D892" s="368"/>
      <c r="H892" s="6"/>
      <c r="I892" s="6"/>
      <c r="J892" s="6"/>
      <c r="K892" s="6"/>
      <c r="L892" s="6"/>
      <c r="M892" s="6"/>
      <c r="N892" s="6"/>
      <c r="O892" s="6"/>
    </row>
    <row r="893">
      <c r="B893" s="368"/>
      <c r="C893" s="368"/>
      <c r="D893" s="368"/>
      <c r="H893" s="6"/>
      <c r="I893" s="6"/>
      <c r="J893" s="6"/>
      <c r="K893" s="6"/>
      <c r="L893" s="6"/>
      <c r="M893" s="6"/>
      <c r="N893" s="6"/>
      <c r="O893" s="6"/>
    </row>
    <row r="894">
      <c r="B894" s="368"/>
      <c r="C894" s="368"/>
      <c r="D894" s="368"/>
      <c r="H894" s="6"/>
      <c r="I894" s="6"/>
      <c r="J894" s="6"/>
      <c r="K894" s="6"/>
      <c r="L894" s="6"/>
      <c r="M894" s="6"/>
      <c r="N894" s="6"/>
      <c r="O894" s="6"/>
    </row>
    <row r="895">
      <c r="B895" s="368"/>
      <c r="C895" s="368"/>
      <c r="D895" s="368"/>
      <c r="H895" s="6"/>
      <c r="I895" s="6"/>
      <c r="J895" s="6"/>
      <c r="K895" s="6"/>
      <c r="L895" s="6"/>
      <c r="M895" s="6"/>
      <c r="N895" s="6"/>
      <c r="O895" s="6"/>
    </row>
    <row r="896">
      <c r="B896" s="368"/>
      <c r="C896" s="368"/>
      <c r="D896" s="368"/>
      <c r="H896" s="6"/>
      <c r="I896" s="6"/>
      <c r="J896" s="6"/>
      <c r="K896" s="6"/>
      <c r="L896" s="6"/>
      <c r="M896" s="6"/>
      <c r="N896" s="6"/>
      <c r="O896" s="6"/>
    </row>
    <row r="897">
      <c r="B897" s="368"/>
      <c r="C897" s="368"/>
      <c r="D897" s="368"/>
      <c r="H897" s="6"/>
      <c r="I897" s="6"/>
      <c r="J897" s="6"/>
      <c r="K897" s="6"/>
      <c r="L897" s="6"/>
      <c r="M897" s="6"/>
      <c r="N897" s="6"/>
      <c r="O897" s="6"/>
    </row>
    <row r="898">
      <c r="B898" s="368"/>
      <c r="C898" s="368"/>
      <c r="D898" s="368"/>
      <c r="H898" s="6"/>
      <c r="I898" s="6"/>
      <c r="J898" s="6"/>
      <c r="K898" s="6"/>
      <c r="L898" s="6"/>
      <c r="M898" s="6"/>
      <c r="N898" s="6"/>
      <c r="O898" s="6"/>
    </row>
    <row r="899">
      <c r="B899" s="368"/>
      <c r="C899" s="368"/>
      <c r="D899" s="368"/>
      <c r="H899" s="6"/>
      <c r="I899" s="6"/>
      <c r="J899" s="6"/>
      <c r="K899" s="6"/>
      <c r="L899" s="6"/>
      <c r="M899" s="6"/>
      <c r="N899" s="6"/>
      <c r="O899" s="6"/>
    </row>
    <row r="900">
      <c r="B900" s="368"/>
      <c r="C900" s="368"/>
      <c r="D900" s="368"/>
      <c r="H900" s="6"/>
      <c r="I900" s="6"/>
      <c r="J900" s="6"/>
      <c r="K900" s="6"/>
      <c r="L900" s="6"/>
      <c r="M900" s="6"/>
      <c r="N900" s="6"/>
      <c r="O900" s="6"/>
    </row>
    <row r="901">
      <c r="B901" s="368"/>
      <c r="C901" s="368"/>
      <c r="D901" s="368"/>
      <c r="H901" s="6"/>
      <c r="I901" s="6"/>
      <c r="J901" s="6"/>
      <c r="K901" s="6"/>
      <c r="L901" s="6"/>
      <c r="M901" s="6"/>
      <c r="N901" s="6"/>
      <c r="O901" s="6"/>
    </row>
    <row r="902">
      <c r="B902" s="368"/>
      <c r="C902" s="368"/>
      <c r="D902" s="368"/>
      <c r="H902" s="6"/>
      <c r="I902" s="6"/>
      <c r="J902" s="6"/>
      <c r="K902" s="6"/>
      <c r="L902" s="6"/>
      <c r="M902" s="6"/>
      <c r="N902" s="6"/>
      <c r="O902" s="6"/>
    </row>
    <row r="903">
      <c r="B903" s="368"/>
      <c r="C903" s="368"/>
      <c r="D903" s="368"/>
      <c r="H903" s="6"/>
      <c r="I903" s="6"/>
      <c r="J903" s="6"/>
      <c r="K903" s="6"/>
      <c r="L903" s="6"/>
      <c r="M903" s="6"/>
      <c r="N903" s="6"/>
      <c r="O903" s="6"/>
    </row>
    <row r="904">
      <c r="B904" s="368"/>
      <c r="C904" s="368"/>
      <c r="D904" s="368"/>
      <c r="H904" s="6"/>
      <c r="I904" s="6"/>
      <c r="J904" s="6"/>
      <c r="K904" s="6"/>
      <c r="L904" s="6"/>
      <c r="M904" s="6"/>
      <c r="N904" s="6"/>
      <c r="O904" s="6"/>
    </row>
    <row r="905">
      <c r="B905" s="368"/>
      <c r="C905" s="368"/>
      <c r="D905" s="368"/>
      <c r="H905" s="6"/>
      <c r="I905" s="6"/>
      <c r="J905" s="6"/>
      <c r="K905" s="6"/>
      <c r="L905" s="6"/>
      <c r="M905" s="6"/>
      <c r="N905" s="6"/>
      <c r="O905" s="6"/>
    </row>
    <row r="906">
      <c r="B906" s="368"/>
      <c r="C906" s="368"/>
      <c r="D906" s="368"/>
      <c r="H906" s="6"/>
      <c r="I906" s="6"/>
      <c r="J906" s="6"/>
      <c r="K906" s="6"/>
      <c r="L906" s="6"/>
      <c r="M906" s="6"/>
      <c r="N906" s="6"/>
      <c r="O906" s="6"/>
    </row>
    <row r="907">
      <c r="B907" s="368"/>
      <c r="C907" s="368"/>
      <c r="D907" s="368"/>
      <c r="H907" s="6"/>
      <c r="I907" s="6"/>
      <c r="J907" s="6"/>
      <c r="K907" s="6"/>
      <c r="L907" s="6"/>
      <c r="M907" s="6"/>
      <c r="N907" s="6"/>
      <c r="O907" s="6"/>
    </row>
    <row r="908">
      <c r="B908" s="368"/>
      <c r="C908" s="368"/>
      <c r="D908" s="368"/>
      <c r="H908" s="6"/>
      <c r="I908" s="6"/>
      <c r="J908" s="6"/>
      <c r="K908" s="6"/>
      <c r="L908" s="6"/>
      <c r="M908" s="6"/>
      <c r="N908" s="6"/>
      <c r="O908" s="6"/>
    </row>
    <row r="909">
      <c r="B909" s="368"/>
      <c r="C909" s="368"/>
      <c r="D909" s="368"/>
      <c r="H909" s="6"/>
      <c r="I909" s="6"/>
      <c r="J909" s="6"/>
      <c r="K909" s="6"/>
      <c r="L909" s="6"/>
      <c r="M909" s="6"/>
      <c r="N909" s="6"/>
      <c r="O909" s="6"/>
    </row>
    <row r="910">
      <c r="B910" s="368"/>
      <c r="C910" s="368"/>
      <c r="D910" s="368"/>
      <c r="H910" s="6"/>
      <c r="I910" s="6"/>
      <c r="J910" s="6"/>
      <c r="K910" s="6"/>
      <c r="L910" s="6"/>
      <c r="M910" s="6"/>
      <c r="N910" s="6"/>
      <c r="O910" s="6"/>
    </row>
    <row r="911">
      <c r="B911" s="368"/>
      <c r="C911" s="368"/>
      <c r="D911" s="368"/>
      <c r="H911" s="6"/>
      <c r="I911" s="6"/>
      <c r="J911" s="6"/>
      <c r="K911" s="6"/>
      <c r="L911" s="6"/>
      <c r="M911" s="6"/>
      <c r="N911" s="6"/>
      <c r="O911" s="6"/>
    </row>
    <row r="912">
      <c r="B912" s="368"/>
      <c r="C912" s="368"/>
      <c r="D912" s="368"/>
      <c r="H912" s="6"/>
      <c r="I912" s="6"/>
      <c r="J912" s="6"/>
      <c r="K912" s="6"/>
      <c r="L912" s="6"/>
      <c r="M912" s="6"/>
      <c r="N912" s="6"/>
      <c r="O912" s="6"/>
    </row>
    <row r="913">
      <c r="B913" s="368"/>
      <c r="C913" s="368"/>
      <c r="D913" s="368"/>
      <c r="H913" s="6"/>
      <c r="I913" s="6"/>
      <c r="J913" s="6"/>
      <c r="K913" s="6"/>
      <c r="L913" s="6"/>
      <c r="M913" s="6"/>
      <c r="N913" s="6"/>
      <c r="O913" s="6"/>
    </row>
    <row r="914">
      <c r="B914" s="368"/>
      <c r="C914" s="368"/>
      <c r="D914" s="368"/>
      <c r="H914" s="6"/>
      <c r="I914" s="6"/>
      <c r="J914" s="6"/>
      <c r="K914" s="6"/>
      <c r="L914" s="6"/>
      <c r="M914" s="6"/>
      <c r="N914" s="6"/>
      <c r="O914" s="6"/>
    </row>
    <row r="915">
      <c r="B915" s="368"/>
      <c r="C915" s="368"/>
      <c r="D915" s="368"/>
      <c r="H915" s="6"/>
      <c r="I915" s="6"/>
      <c r="J915" s="6"/>
      <c r="K915" s="6"/>
      <c r="L915" s="6"/>
      <c r="M915" s="6"/>
      <c r="N915" s="6"/>
      <c r="O915" s="6"/>
    </row>
    <row r="916">
      <c r="B916" s="368"/>
      <c r="C916" s="368"/>
      <c r="D916" s="368"/>
      <c r="H916" s="6"/>
      <c r="I916" s="6"/>
      <c r="J916" s="6"/>
      <c r="K916" s="6"/>
      <c r="L916" s="6"/>
      <c r="M916" s="6"/>
      <c r="N916" s="6"/>
      <c r="O916" s="6"/>
    </row>
    <row r="917">
      <c r="B917" s="368"/>
      <c r="C917" s="368"/>
      <c r="D917" s="368"/>
      <c r="H917" s="6"/>
      <c r="I917" s="6"/>
      <c r="J917" s="6"/>
      <c r="K917" s="6"/>
      <c r="L917" s="6"/>
      <c r="M917" s="6"/>
      <c r="N917" s="6"/>
      <c r="O917" s="6"/>
    </row>
    <row r="918">
      <c r="B918" s="368"/>
      <c r="C918" s="368"/>
      <c r="D918" s="368"/>
      <c r="H918" s="6"/>
      <c r="I918" s="6"/>
      <c r="J918" s="6"/>
      <c r="K918" s="6"/>
      <c r="L918" s="6"/>
      <c r="M918" s="6"/>
      <c r="N918" s="6"/>
      <c r="O918" s="6"/>
    </row>
    <row r="919">
      <c r="B919" s="368"/>
      <c r="C919" s="368"/>
      <c r="D919" s="368"/>
      <c r="H919" s="6"/>
      <c r="I919" s="6"/>
      <c r="J919" s="6"/>
      <c r="K919" s="6"/>
      <c r="L919" s="6"/>
      <c r="M919" s="6"/>
      <c r="N919" s="6"/>
      <c r="O919" s="6"/>
    </row>
    <row r="920">
      <c r="B920" s="368"/>
      <c r="C920" s="368"/>
      <c r="D920" s="368"/>
      <c r="H920" s="6"/>
      <c r="I920" s="6"/>
      <c r="J920" s="6"/>
      <c r="K920" s="6"/>
      <c r="L920" s="6"/>
      <c r="M920" s="6"/>
      <c r="N920" s="6"/>
      <c r="O920" s="6"/>
    </row>
    <row r="921">
      <c r="B921" s="368"/>
      <c r="C921" s="368"/>
      <c r="D921" s="368"/>
      <c r="H921" s="6"/>
      <c r="I921" s="6"/>
      <c r="J921" s="6"/>
      <c r="K921" s="6"/>
      <c r="L921" s="6"/>
      <c r="M921" s="6"/>
      <c r="N921" s="6"/>
      <c r="O921" s="6"/>
    </row>
    <row r="922">
      <c r="B922" s="368"/>
      <c r="C922" s="368"/>
      <c r="D922" s="368"/>
      <c r="H922" s="6"/>
      <c r="I922" s="6"/>
      <c r="J922" s="6"/>
      <c r="K922" s="6"/>
      <c r="L922" s="6"/>
      <c r="M922" s="6"/>
      <c r="N922" s="6"/>
      <c r="O922" s="6"/>
    </row>
    <row r="923">
      <c r="B923" s="368"/>
      <c r="C923" s="368"/>
      <c r="D923" s="368"/>
      <c r="H923" s="6"/>
      <c r="I923" s="6"/>
      <c r="J923" s="6"/>
      <c r="K923" s="6"/>
      <c r="L923" s="6"/>
      <c r="M923" s="6"/>
      <c r="N923" s="6"/>
      <c r="O923" s="6"/>
    </row>
    <row r="924">
      <c r="B924" s="368"/>
      <c r="C924" s="368"/>
      <c r="D924" s="368"/>
      <c r="H924" s="6"/>
      <c r="I924" s="6"/>
      <c r="J924" s="6"/>
      <c r="K924" s="6"/>
      <c r="L924" s="6"/>
      <c r="M924" s="6"/>
      <c r="N924" s="6"/>
      <c r="O924" s="6"/>
    </row>
    <row r="925">
      <c r="B925" s="368"/>
      <c r="C925" s="368"/>
      <c r="D925" s="368"/>
      <c r="H925" s="6"/>
      <c r="I925" s="6"/>
      <c r="J925" s="6"/>
      <c r="K925" s="6"/>
      <c r="L925" s="6"/>
      <c r="M925" s="6"/>
      <c r="N925" s="6"/>
      <c r="O925" s="6"/>
    </row>
    <row r="926">
      <c r="B926" s="368"/>
      <c r="C926" s="368"/>
      <c r="D926" s="368"/>
      <c r="H926" s="6"/>
      <c r="I926" s="6"/>
      <c r="J926" s="6"/>
      <c r="K926" s="6"/>
      <c r="L926" s="6"/>
      <c r="M926" s="6"/>
      <c r="N926" s="6"/>
      <c r="O926" s="6"/>
    </row>
    <row r="927">
      <c r="B927" s="368"/>
      <c r="C927" s="368"/>
      <c r="D927" s="368"/>
      <c r="H927" s="6"/>
      <c r="I927" s="6"/>
      <c r="J927" s="6"/>
      <c r="K927" s="6"/>
      <c r="L927" s="6"/>
      <c r="M927" s="6"/>
      <c r="N927" s="6"/>
      <c r="O927" s="6"/>
    </row>
    <row r="928">
      <c r="B928" s="368"/>
      <c r="C928" s="368"/>
      <c r="D928" s="368"/>
      <c r="H928" s="6"/>
      <c r="I928" s="6"/>
      <c r="J928" s="6"/>
      <c r="K928" s="6"/>
      <c r="L928" s="6"/>
      <c r="M928" s="6"/>
      <c r="N928" s="6"/>
      <c r="O928" s="6"/>
    </row>
    <row r="929">
      <c r="B929" s="368"/>
      <c r="C929" s="368"/>
      <c r="D929" s="368"/>
      <c r="H929" s="6"/>
      <c r="I929" s="6"/>
      <c r="J929" s="6"/>
      <c r="K929" s="6"/>
      <c r="L929" s="6"/>
      <c r="M929" s="6"/>
      <c r="N929" s="6"/>
      <c r="O929" s="6"/>
    </row>
    <row r="930">
      <c r="B930" s="368"/>
      <c r="C930" s="368"/>
      <c r="D930" s="368"/>
      <c r="H930" s="6"/>
      <c r="I930" s="6"/>
      <c r="J930" s="6"/>
      <c r="K930" s="6"/>
      <c r="L930" s="6"/>
      <c r="M930" s="6"/>
      <c r="N930" s="6"/>
      <c r="O930" s="6"/>
    </row>
    <row r="931">
      <c r="B931" s="368"/>
      <c r="C931" s="368"/>
      <c r="D931" s="368"/>
      <c r="H931" s="6"/>
      <c r="I931" s="6"/>
      <c r="J931" s="6"/>
      <c r="K931" s="6"/>
      <c r="L931" s="6"/>
      <c r="M931" s="6"/>
      <c r="N931" s="6"/>
      <c r="O931" s="6"/>
    </row>
    <row r="932">
      <c r="B932" s="368"/>
      <c r="C932" s="368"/>
      <c r="D932" s="368"/>
      <c r="H932" s="6"/>
      <c r="I932" s="6"/>
      <c r="J932" s="6"/>
      <c r="K932" s="6"/>
      <c r="L932" s="6"/>
      <c r="M932" s="6"/>
      <c r="N932" s="6"/>
      <c r="O932" s="6"/>
    </row>
    <row r="933">
      <c r="B933" s="368"/>
      <c r="C933" s="368"/>
      <c r="D933" s="368"/>
      <c r="H933" s="6"/>
      <c r="I933" s="6"/>
      <c r="J933" s="6"/>
      <c r="K933" s="6"/>
      <c r="L933" s="6"/>
      <c r="M933" s="6"/>
      <c r="N933" s="6"/>
      <c r="O933" s="6"/>
    </row>
    <row r="934">
      <c r="B934" s="368"/>
      <c r="C934" s="368"/>
      <c r="D934" s="368"/>
      <c r="H934" s="6"/>
      <c r="I934" s="6"/>
      <c r="J934" s="6"/>
      <c r="K934" s="6"/>
      <c r="L934" s="6"/>
      <c r="M934" s="6"/>
      <c r="N934" s="6"/>
      <c r="O934" s="6"/>
    </row>
    <row r="935">
      <c r="B935" s="368"/>
      <c r="C935" s="368"/>
      <c r="D935" s="368"/>
      <c r="H935" s="6"/>
      <c r="I935" s="6"/>
      <c r="J935" s="6"/>
      <c r="K935" s="6"/>
      <c r="L935" s="6"/>
      <c r="M935" s="6"/>
      <c r="N935" s="6"/>
      <c r="O935" s="6"/>
    </row>
    <row r="936">
      <c r="B936" s="368"/>
      <c r="C936" s="368"/>
      <c r="D936" s="368"/>
      <c r="H936" s="6"/>
      <c r="I936" s="6"/>
      <c r="J936" s="6"/>
      <c r="K936" s="6"/>
      <c r="L936" s="6"/>
      <c r="M936" s="6"/>
      <c r="N936" s="6"/>
      <c r="O936" s="6"/>
    </row>
    <row r="937">
      <c r="B937" s="368"/>
      <c r="C937" s="368"/>
      <c r="D937" s="368"/>
      <c r="H937" s="6"/>
      <c r="I937" s="6"/>
      <c r="J937" s="6"/>
      <c r="K937" s="6"/>
      <c r="L937" s="6"/>
      <c r="M937" s="6"/>
      <c r="N937" s="6"/>
      <c r="O937" s="6"/>
    </row>
    <row r="938">
      <c r="B938" s="368"/>
      <c r="C938" s="368"/>
      <c r="D938" s="368"/>
      <c r="H938" s="6"/>
      <c r="I938" s="6"/>
      <c r="J938" s="6"/>
      <c r="K938" s="6"/>
      <c r="L938" s="6"/>
      <c r="M938" s="6"/>
      <c r="N938" s="6"/>
      <c r="O938" s="6"/>
    </row>
    <row r="939">
      <c r="B939" s="368"/>
      <c r="C939" s="368"/>
      <c r="D939" s="368"/>
      <c r="H939" s="6"/>
      <c r="I939" s="6"/>
      <c r="J939" s="6"/>
      <c r="K939" s="6"/>
      <c r="L939" s="6"/>
      <c r="M939" s="6"/>
      <c r="N939" s="6"/>
      <c r="O939" s="6"/>
    </row>
    <row r="940">
      <c r="B940" s="368"/>
      <c r="C940" s="368"/>
      <c r="D940" s="368"/>
      <c r="H940" s="6"/>
      <c r="I940" s="6"/>
      <c r="J940" s="6"/>
      <c r="K940" s="6"/>
      <c r="L940" s="6"/>
      <c r="M940" s="6"/>
      <c r="N940" s="6"/>
      <c r="O940" s="6"/>
    </row>
    <row r="941">
      <c r="B941" s="368"/>
      <c r="C941" s="368"/>
      <c r="D941" s="368"/>
      <c r="H941" s="6"/>
      <c r="I941" s="6"/>
      <c r="J941" s="6"/>
      <c r="K941" s="6"/>
      <c r="L941" s="6"/>
      <c r="M941" s="6"/>
      <c r="N941" s="6"/>
      <c r="O941" s="6"/>
    </row>
    <row r="942">
      <c r="B942" s="368"/>
      <c r="C942" s="368"/>
      <c r="D942" s="368"/>
      <c r="H942" s="6"/>
      <c r="I942" s="6"/>
      <c r="J942" s="6"/>
      <c r="K942" s="6"/>
      <c r="L942" s="6"/>
      <c r="M942" s="6"/>
      <c r="N942" s="6"/>
      <c r="O942" s="6"/>
    </row>
    <row r="943">
      <c r="B943" s="368"/>
      <c r="C943" s="368"/>
      <c r="D943" s="368"/>
      <c r="H943" s="6"/>
      <c r="I943" s="6"/>
      <c r="J943" s="6"/>
      <c r="K943" s="6"/>
      <c r="L943" s="6"/>
      <c r="M943" s="6"/>
      <c r="N943" s="6"/>
      <c r="O943" s="6"/>
    </row>
    <row r="944">
      <c r="B944" s="368"/>
      <c r="C944" s="368"/>
      <c r="D944" s="368"/>
      <c r="H944" s="6"/>
      <c r="I944" s="6"/>
      <c r="J944" s="6"/>
      <c r="K944" s="6"/>
      <c r="L944" s="6"/>
      <c r="M944" s="6"/>
      <c r="N944" s="6"/>
      <c r="O944" s="6"/>
    </row>
    <row r="945">
      <c r="B945" s="368"/>
      <c r="C945" s="368"/>
      <c r="D945" s="368"/>
      <c r="H945" s="6"/>
      <c r="I945" s="6"/>
      <c r="J945" s="6"/>
      <c r="K945" s="6"/>
      <c r="L945" s="6"/>
      <c r="M945" s="6"/>
      <c r="N945" s="6"/>
      <c r="O945" s="6"/>
    </row>
    <row r="946">
      <c r="B946" s="368"/>
      <c r="C946" s="368"/>
      <c r="D946" s="368"/>
      <c r="H946" s="6"/>
      <c r="I946" s="6"/>
      <c r="J946" s="6"/>
      <c r="K946" s="6"/>
      <c r="L946" s="6"/>
      <c r="M946" s="6"/>
      <c r="N946" s="6"/>
      <c r="O946" s="6"/>
    </row>
    <row r="947">
      <c r="B947" s="368"/>
      <c r="C947" s="368"/>
      <c r="D947" s="368"/>
      <c r="H947" s="6"/>
      <c r="I947" s="6"/>
      <c r="J947" s="6"/>
      <c r="K947" s="6"/>
      <c r="L947" s="6"/>
      <c r="M947" s="6"/>
      <c r="N947" s="6"/>
      <c r="O947" s="6"/>
    </row>
    <row r="948">
      <c r="B948" s="368"/>
      <c r="C948" s="368"/>
      <c r="D948" s="368"/>
      <c r="H948" s="6"/>
      <c r="I948" s="6"/>
      <c r="J948" s="6"/>
      <c r="K948" s="6"/>
      <c r="L948" s="6"/>
      <c r="M948" s="6"/>
      <c r="N948" s="6"/>
      <c r="O948" s="6"/>
    </row>
    <row r="949">
      <c r="B949" s="368"/>
      <c r="C949" s="368"/>
      <c r="D949" s="368"/>
      <c r="H949" s="6"/>
      <c r="I949" s="6"/>
      <c r="J949" s="6"/>
      <c r="K949" s="6"/>
      <c r="L949" s="6"/>
      <c r="M949" s="6"/>
      <c r="N949" s="6"/>
      <c r="O949" s="6"/>
    </row>
    <row r="950">
      <c r="B950" s="368"/>
      <c r="C950" s="368"/>
      <c r="D950" s="368"/>
      <c r="H950" s="6"/>
      <c r="I950" s="6"/>
      <c r="J950" s="6"/>
      <c r="K950" s="6"/>
      <c r="L950" s="6"/>
      <c r="M950" s="6"/>
      <c r="N950" s="6"/>
      <c r="O950" s="6"/>
    </row>
    <row r="951">
      <c r="B951" s="368"/>
      <c r="C951" s="368"/>
      <c r="D951" s="368"/>
      <c r="H951" s="6"/>
      <c r="I951" s="6"/>
      <c r="J951" s="6"/>
      <c r="K951" s="6"/>
      <c r="L951" s="6"/>
      <c r="M951" s="6"/>
      <c r="N951" s="6"/>
      <c r="O951" s="6"/>
    </row>
    <row r="952">
      <c r="B952" s="368"/>
      <c r="C952" s="368"/>
      <c r="D952" s="368"/>
      <c r="H952" s="6"/>
      <c r="I952" s="6"/>
      <c r="J952" s="6"/>
      <c r="K952" s="6"/>
      <c r="L952" s="6"/>
      <c r="M952" s="6"/>
      <c r="N952" s="6"/>
      <c r="O952" s="6"/>
    </row>
    <row r="953">
      <c r="B953" s="368"/>
      <c r="C953" s="368"/>
      <c r="D953" s="368"/>
      <c r="H953" s="6"/>
      <c r="I953" s="6"/>
      <c r="J953" s="6"/>
      <c r="K953" s="6"/>
      <c r="L953" s="6"/>
      <c r="M953" s="6"/>
      <c r="N953" s="6"/>
      <c r="O953" s="6"/>
    </row>
    <row r="954">
      <c r="B954" s="368"/>
      <c r="C954" s="368"/>
      <c r="D954" s="368"/>
      <c r="H954" s="6"/>
      <c r="I954" s="6"/>
      <c r="J954" s="6"/>
      <c r="K954" s="6"/>
      <c r="L954" s="6"/>
      <c r="M954" s="6"/>
      <c r="N954" s="6"/>
      <c r="O954" s="6"/>
    </row>
    <row r="955">
      <c r="B955" s="368"/>
      <c r="C955" s="368"/>
      <c r="D955" s="368"/>
      <c r="H955" s="6"/>
      <c r="I955" s="6"/>
      <c r="J955" s="6"/>
      <c r="K955" s="6"/>
      <c r="L955" s="6"/>
      <c r="M955" s="6"/>
      <c r="N955" s="6"/>
      <c r="O955" s="6"/>
    </row>
    <row r="956">
      <c r="B956" s="368"/>
      <c r="C956" s="368"/>
      <c r="D956" s="368"/>
      <c r="H956" s="6"/>
      <c r="I956" s="6"/>
      <c r="J956" s="6"/>
      <c r="K956" s="6"/>
      <c r="L956" s="6"/>
      <c r="M956" s="6"/>
      <c r="N956" s="6"/>
      <c r="O956" s="6"/>
    </row>
    <row r="957">
      <c r="B957" s="368"/>
      <c r="C957" s="368"/>
      <c r="D957" s="368"/>
      <c r="H957" s="6"/>
      <c r="I957" s="6"/>
      <c r="J957" s="6"/>
      <c r="K957" s="6"/>
      <c r="L957" s="6"/>
      <c r="M957" s="6"/>
      <c r="N957" s="6"/>
      <c r="O957" s="6"/>
    </row>
    <row r="958">
      <c r="B958" s="368"/>
      <c r="C958" s="368"/>
      <c r="D958" s="368"/>
      <c r="H958" s="6"/>
      <c r="I958" s="6"/>
      <c r="J958" s="6"/>
      <c r="K958" s="6"/>
      <c r="L958" s="6"/>
      <c r="M958" s="6"/>
      <c r="N958" s="6"/>
      <c r="O958" s="6"/>
    </row>
    <row r="959">
      <c r="B959" s="368"/>
      <c r="C959" s="368"/>
      <c r="D959" s="368"/>
      <c r="H959" s="6"/>
      <c r="I959" s="6"/>
      <c r="J959" s="6"/>
      <c r="K959" s="6"/>
      <c r="L959" s="6"/>
      <c r="M959" s="6"/>
      <c r="N959" s="6"/>
      <c r="O959" s="6"/>
    </row>
    <row r="960">
      <c r="B960" s="368"/>
      <c r="C960" s="368"/>
      <c r="D960" s="368"/>
      <c r="H960" s="6"/>
      <c r="I960" s="6"/>
      <c r="J960" s="6"/>
      <c r="K960" s="6"/>
      <c r="L960" s="6"/>
      <c r="M960" s="6"/>
      <c r="N960" s="6"/>
      <c r="O960" s="6"/>
    </row>
    <row r="961">
      <c r="B961" s="368"/>
      <c r="C961" s="368"/>
      <c r="D961" s="368"/>
      <c r="H961" s="6"/>
      <c r="I961" s="6"/>
      <c r="J961" s="6"/>
      <c r="K961" s="6"/>
      <c r="L961" s="6"/>
      <c r="M961" s="6"/>
      <c r="N961" s="6"/>
      <c r="O961" s="6"/>
    </row>
    <row r="962">
      <c r="B962" s="368"/>
      <c r="C962" s="368"/>
      <c r="D962" s="368"/>
      <c r="H962" s="6"/>
      <c r="I962" s="6"/>
      <c r="J962" s="6"/>
      <c r="K962" s="6"/>
      <c r="L962" s="6"/>
      <c r="M962" s="6"/>
      <c r="N962" s="6"/>
      <c r="O962" s="6"/>
    </row>
    <row r="963">
      <c r="B963" s="368"/>
      <c r="C963" s="368"/>
      <c r="D963" s="368"/>
      <c r="H963" s="6"/>
      <c r="I963" s="6"/>
      <c r="J963" s="6"/>
      <c r="K963" s="6"/>
      <c r="L963" s="6"/>
      <c r="M963" s="6"/>
      <c r="N963" s="6"/>
      <c r="O963" s="6"/>
    </row>
    <row r="964">
      <c r="B964" s="368"/>
      <c r="C964" s="368"/>
      <c r="D964" s="368"/>
      <c r="H964" s="6"/>
      <c r="I964" s="6"/>
      <c r="J964" s="6"/>
      <c r="K964" s="6"/>
      <c r="L964" s="6"/>
      <c r="M964" s="6"/>
      <c r="N964" s="6"/>
      <c r="O964" s="6"/>
    </row>
    <row r="965">
      <c r="B965" s="368"/>
      <c r="C965" s="368"/>
      <c r="D965" s="368"/>
      <c r="H965" s="6"/>
      <c r="I965" s="6"/>
      <c r="J965" s="6"/>
      <c r="K965" s="6"/>
      <c r="L965" s="6"/>
      <c r="M965" s="6"/>
      <c r="N965" s="6"/>
      <c r="O965" s="6"/>
    </row>
    <row r="966">
      <c r="B966" s="368"/>
      <c r="C966" s="368"/>
      <c r="D966" s="368"/>
      <c r="H966" s="6"/>
      <c r="I966" s="6"/>
      <c r="J966" s="6"/>
      <c r="K966" s="6"/>
      <c r="L966" s="6"/>
      <c r="M966" s="6"/>
      <c r="N966" s="6"/>
      <c r="O966" s="6"/>
    </row>
    <row r="967">
      <c r="B967" s="368"/>
      <c r="C967" s="368"/>
      <c r="D967" s="368"/>
      <c r="H967" s="6"/>
      <c r="I967" s="6"/>
      <c r="J967" s="6"/>
      <c r="K967" s="6"/>
      <c r="L967" s="6"/>
      <c r="M967" s="6"/>
      <c r="N967" s="6"/>
      <c r="O967" s="6"/>
    </row>
    <row r="968">
      <c r="B968" s="368"/>
      <c r="C968" s="368"/>
      <c r="D968" s="368"/>
      <c r="H968" s="6"/>
      <c r="I968" s="6"/>
      <c r="J968" s="6"/>
      <c r="K968" s="6"/>
      <c r="L968" s="6"/>
      <c r="M968" s="6"/>
      <c r="N968" s="6"/>
      <c r="O968" s="6"/>
    </row>
    <row r="969">
      <c r="B969" s="368"/>
      <c r="C969" s="368"/>
      <c r="D969" s="368"/>
      <c r="H969" s="6"/>
      <c r="I969" s="6"/>
      <c r="J969" s="6"/>
      <c r="K969" s="6"/>
      <c r="L969" s="6"/>
      <c r="M969" s="6"/>
      <c r="N969" s="6"/>
      <c r="O969" s="6"/>
    </row>
    <row r="970">
      <c r="B970" s="368"/>
      <c r="C970" s="368"/>
      <c r="D970" s="368"/>
      <c r="H970" s="6"/>
      <c r="I970" s="6"/>
      <c r="J970" s="6"/>
      <c r="K970" s="6"/>
      <c r="L970" s="6"/>
      <c r="M970" s="6"/>
      <c r="N970" s="6"/>
      <c r="O970" s="6"/>
    </row>
    <row r="971">
      <c r="B971" s="368"/>
      <c r="C971" s="368"/>
      <c r="D971" s="368"/>
      <c r="H971" s="6"/>
      <c r="I971" s="6"/>
      <c r="J971" s="6"/>
      <c r="K971" s="6"/>
      <c r="L971" s="6"/>
      <c r="M971" s="6"/>
      <c r="N971" s="6"/>
      <c r="O971" s="6"/>
    </row>
    <row r="972">
      <c r="B972" s="368"/>
      <c r="C972" s="368"/>
      <c r="D972" s="368"/>
      <c r="H972" s="6"/>
      <c r="I972" s="6"/>
      <c r="J972" s="6"/>
      <c r="K972" s="6"/>
      <c r="L972" s="6"/>
      <c r="M972" s="6"/>
      <c r="N972" s="6"/>
      <c r="O972" s="6"/>
    </row>
    <row r="973">
      <c r="B973" s="368"/>
      <c r="C973" s="368"/>
      <c r="D973" s="368"/>
      <c r="H973" s="6"/>
      <c r="I973" s="6"/>
      <c r="J973" s="6"/>
      <c r="K973" s="6"/>
      <c r="L973" s="6"/>
      <c r="M973" s="6"/>
      <c r="N973" s="6"/>
      <c r="O973" s="6"/>
    </row>
    <row r="974">
      <c r="B974" s="368"/>
      <c r="C974" s="368"/>
      <c r="D974" s="368"/>
      <c r="H974" s="6"/>
      <c r="I974" s="6"/>
      <c r="J974" s="6"/>
      <c r="K974" s="6"/>
      <c r="L974" s="6"/>
      <c r="M974" s="6"/>
      <c r="N974" s="6"/>
      <c r="O974" s="6"/>
    </row>
    <row r="975">
      <c r="B975" s="368"/>
      <c r="C975" s="368"/>
      <c r="D975" s="368"/>
      <c r="H975" s="6"/>
      <c r="I975" s="6"/>
      <c r="J975" s="6"/>
      <c r="K975" s="6"/>
      <c r="L975" s="6"/>
      <c r="M975" s="6"/>
      <c r="N975" s="6"/>
      <c r="O975" s="6"/>
    </row>
    <row r="976">
      <c r="B976" s="368"/>
      <c r="C976" s="368"/>
      <c r="D976" s="368"/>
      <c r="H976" s="6"/>
      <c r="I976" s="6"/>
      <c r="J976" s="6"/>
      <c r="K976" s="6"/>
      <c r="L976" s="6"/>
      <c r="M976" s="6"/>
      <c r="N976" s="6"/>
      <c r="O976" s="6"/>
    </row>
    <row r="977">
      <c r="B977" s="368"/>
      <c r="C977" s="368"/>
      <c r="D977" s="368"/>
      <c r="H977" s="6"/>
      <c r="I977" s="6"/>
      <c r="J977" s="6"/>
      <c r="K977" s="6"/>
      <c r="L977" s="6"/>
      <c r="M977" s="6"/>
      <c r="N977" s="6"/>
      <c r="O977" s="6"/>
    </row>
    <row r="978">
      <c r="B978" s="368"/>
      <c r="C978" s="368"/>
      <c r="D978" s="368"/>
      <c r="H978" s="6"/>
      <c r="I978" s="6"/>
      <c r="J978" s="6"/>
      <c r="K978" s="6"/>
      <c r="L978" s="6"/>
      <c r="M978" s="6"/>
      <c r="N978" s="6"/>
      <c r="O978" s="6"/>
    </row>
    <row r="979">
      <c r="B979" s="368"/>
      <c r="C979" s="368"/>
      <c r="D979" s="368"/>
      <c r="H979" s="6"/>
      <c r="I979" s="6"/>
      <c r="J979" s="6"/>
      <c r="K979" s="6"/>
      <c r="L979" s="6"/>
      <c r="M979" s="6"/>
      <c r="N979" s="6"/>
      <c r="O979" s="6"/>
    </row>
    <row r="980">
      <c r="B980" s="368"/>
      <c r="C980" s="368"/>
      <c r="D980" s="368"/>
      <c r="H980" s="6"/>
      <c r="I980" s="6"/>
      <c r="J980" s="6"/>
      <c r="K980" s="6"/>
      <c r="L980" s="6"/>
      <c r="M980" s="6"/>
      <c r="N980" s="6"/>
      <c r="O980" s="6"/>
    </row>
    <row r="981">
      <c r="B981" s="368"/>
      <c r="C981" s="368"/>
      <c r="D981" s="368"/>
      <c r="H981" s="6"/>
      <c r="I981" s="6"/>
      <c r="J981" s="6"/>
      <c r="K981" s="6"/>
      <c r="L981" s="6"/>
      <c r="M981" s="6"/>
      <c r="N981" s="6"/>
      <c r="O981" s="6"/>
    </row>
    <row r="982">
      <c r="B982" s="368"/>
      <c r="C982" s="368"/>
      <c r="D982" s="368"/>
      <c r="H982" s="6"/>
      <c r="I982" s="6"/>
      <c r="J982" s="6"/>
      <c r="K982" s="6"/>
      <c r="L982" s="6"/>
      <c r="M982" s="6"/>
      <c r="N982" s="6"/>
      <c r="O982" s="6"/>
    </row>
    <row r="983">
      <c r="B983" s="368"/>
      <c r="C983" s="368"/>
      <c r="D983" s="368"/>
      <c r="H983" s="6"/>
      <c r="I983" s="6"/>
      <c r="J983" s="6"/>
      <c r="K983" s="6"/>
      <c r="L983" s="6"/>
      <c r="M983" s="6"/>
      <c r="N983" s="6"/>
      <c r="O983" s="6"/>
    </row>
    <row r="984">
      <c r="B984" s="368"/>
      <c r="C984" s="368"/>
      <c r="D984" s="368"/>
      <c r="H984" s="6"/>
      <c r="I984" s="6"/>
      <c r="J984" s="6"/>
      <c r="K984" s="6"/>
      <c r="L984" s="6"/>
      <c r="M984" s="6"/>
      <c r="N984" s="6"/>
      <c r="O984" s="6"/>
    </row>
    <row r="985">
      <c r="B985" s="368"/>
      <c r="C985" s="368"/>
      <c r="D985" s="368"/>
      <c r="H985" s="6"/>
      <c r="I985" s="6"/>
      <c r="J985" s="6"/>
      <c r="K985" s="6"/>
      <c r="L985" s="6"/>
      <c r="M985" s="6"/>
      <c r="N985" s="6"/>
      <c r="O985" s="6"/>
    </row>
    <row r="986">
      <c r="B986" s="368"/>
      <c r="C986" s="368"/>
      <c r="D986" s="368"/>
      <c r="H986" s="6"/>
      <c r="I986" s="6"/>
      <c r="J986" s="6"/>
      <c r="K986" s="6"/>
      <c r="L986" s="6"/>
      <c r="M986" s="6"/>
      <c r="N986" s="6"/>
      <c r="O986" s="6"/>
    </row>
    <row r="987">
      <c r="B987" s="368"/>
      <c r="C987" s="368"/>
      <c r="D987" s="368"/>
      <c r="H987" s="6"/>
      <c r="I987" s="6"/>
      <c r="J987" s="6"/>
      <c r="K987" s="6"/>
      <c r="L987" s="6"/>
      <c r="M987" s="6"/>
      <c r="N987" s="6"/>
      <c r="O987" s="6"/>
    </row>
    <row r="988">
      <c r="B988" s="368"/>
      <c r="C988" s="368"/>
      <c r="D988" s="368"/>
      <c r="H988" s="6"/>
      <c r="I988" s="6"/>
      <c r="J988" s="6"/>
      <c r="K988" s="6"/>
      <c r="L988" s="6"/>
      <c r="M988" s="6"/>
      <c r="N988" s="6"/>
      <c r="O988" s="6"/>
    </row>
    <row r="989">
      <c r="B989" s="368"/>
      <c r="C989" s="368"/>
      <c r="D989" s="368"/>
      <c r="H989" s="6"/>
      <c r="I989" s="6"/>
      <c r="J989" s="6"/>
      <c r="K989" s="6"/>
      <c r="L989" s="6"/>
      <c r="M989" s="6"/>
      <c r="N989" s="6"/>
      <c r="O989" s="6"/>
    </row>
    <row r="990">
      <c r="B990" s="368"/>
      <c r="C990" s="368"/>
      <c r="D990" s="368"/>
      <c r="H990" s="6"/>
      <c r="I990" s="6"/>
      <c r="J990" s="6"/>
      <c r="K990" s="6"/>
      <c r="L990" s="6"/>
      <c r="M990" s="6"/>
      <c r="N990" s="6"/>
      <c r="O990" s="6"/>
    </row>
    <row r="991">
      <c r="B991" s="368"/>
      <c r="C991" s="368"/>
      <c r="D991" s="368"/>
      <c r="H991" s="6"/>
      <c r="I991" s="6"/>
      <c r="J991" s="6"/>
      <c r="K991" s="6"/>
      <c r="L991" s="6"/>
      <c r="M991" s="6"/>
      <c r="N991" s="6"/>
      <c r="O991" s="6"/>
    </row>
    <row r="992">
      <c r="B992" s="368"/>
      <c r="C992" s="368"/>
      <c r="D992" s="368"/>
      <c r="H992" s="6"/>
      <c r="I992" s="6"/>
      <c r="J992" s="6"/>
      <c r="K992" s="6"/>
      <c r="L992" s="6"/>
      <c r="M992" s="6"/>
      <c r="N992" s="6"/>
      <c r="O992" s="6"/>
    </row>
    <row r="993">
      <c r="B993" s="368"/>
      <c r="C993" s="368"/>
      <c r="D993" s="368"/>
      <c r="H993" s="6"/>
      <c r="I993" s="6"/>
      <c r="J993" s="6"/>
      <c r="K993" s="6"/>
      <c r="L993" s="6"/>
      <c r="M993" s="6"/>
      <c r="N993" s="6"/>
      <c r="O993" s="6"/>
    </row>
    <row r="994">
      <c r="B994" s="368"/>
      <c r="C994" s="368"/>
      <c r="D994" s="368"/>
      <c r="H994" s="6"/>
      <c r="I994" s="6"/>
      <c r="J994" s="6"/>
      <c r="K994" s="6"/>
      <c r="L994" s="6"/>
      <c r="M994" s="6"/>
      <c r="N994" s="6"/>
      <c r="O994" s="6"/>
    </row>
    <row r="995">
      <c r="B995" s="368"/>
      <c r="C995" s="368"/>
      <c r="D995" s="368"/>
      <c r="H995" s="6"/>
      <c r="I995" s="6"/>
      <c r="J995" s="6"/>
      <c r="K995" s="6"/>
      <c r="L995" s="6"/>
      <c r="M995" s="6"/>
      <c r="N995" s="6"/>
      <c r="O995" s="6"/>
    </row>
    <row r="996">
      <c r="B996" s="368"/>
      <c r="C996" s="368"/>
      <c r="D996" s="368"/>
      <c r="H996" s="6"/>
      <c r="I996" s="6"/>
      <c r="J996" s="6"/>
      <c r="K996" s="6"/>
      <c r="L996" s="6"/>
      <c r="M996" s="6"/>
      <c r="N996" s="6"/>
      <c r="O996" s="6"/>
    </row>
    <row r="997">
      <c r="B997" s="368"/>
      <c r="C997" s="368"/>
      <c r="D997" s="368"/>
      <c r="H997" s="6"/>
      <c r="I997" s="6"/>
      <c r="J997" s="6"/>
      <c r="K997" s="6"/>
      <c r="L997" s="6"/>
      <c r="M997" s="6"/>
      <c r="N997" s="6"/>
      <c r="O997" s="6"/>
    </row>
    <row r="998">
      <c r="B998" s="368"/>
      <c r="C998" s="368"/>
      <c r="D998" s="368"/>
      <c r="H998" s="6"/>
      <c r="I998" s="6"/>
      <c r="J998" s="6"/>
      <c r="K998" s="6"/>
      <c r="L998" s="6"/>
      <c r="M998" s="6"/>
      <c r="N998" s="6"/>
      <c r="O998" s="6"/>
    </row>
    <row r="999">
      <c r="B999" s="368"/>
      <c r="C999" s="368"/>
      <c r="D999" s="368"/>
      <c r="H999" s="6"/>
      <c r="I999" s="6"/>
      <c r="J999" s="6"/>
      <c r="K999" s="6"/>
      <c r="L999" s="6"/>
      <c r="M999" s="6"/>
      <c r="N999" s="6"/>
      <c r="O999" s="6"/>
    </row>
    <row r="1000">
      <c r="B1000" s="368"/>
      <c r="C1000" s="368"/>
      <c r="D1000" s="368"/>
      <c r="H1000" s="6"/>
      <c r="I1000" s="6"/>
      <c r="J1000" s="6"/>
      <c r="K1000" s="6"/>
      <c r="L1000" s="6"/>
      <c r="M1000" s="6"/>
      <c r="N1000" s="6"/>
      <c r="O1000" s="6"/>
    </row>
    <row r="1001">
      <c r="B1001" s="368"/>
      <c r="C1001" s="368"/>
      <c r="D1001" s="368"/>
      <c r="H1001" s="6"/>
      <c r="I1001" s="6"/>
      <c r="J1001" s="6"/>
      <c r="K1001" s="6"/>
      <c r="L1001" s="6"/>
      <c r="M1001" s="6"/>
      <c r="N1001" s="6"/>
      <c r="O1001" s="6"/>
    </row>
    <row r="1002">
      <c r="B1002" s="368"/>
      <c r="C1002" s="368"/>
      <c r="D1002" s="368"/>
      <c r="H1002" s="6"/>
      <c r="I1002" s="6"/>
      <c r="J1002" s="6"/>
      <c r="K1002" s="6"/>
      <c r="L1002" s="6"/>
      <c r="M1002" s="6"/>
      <c r="N1002" s="6"/>
      <c r="O1002" s="6"/>
    </row>
    <row r="1003">
      <c r="B1003" s="368"/>
      <c r="C1003" s="368"/>
      <c r="D1003" s="368"/>
      <c r="H1003" s="6"/>
      <c r="I1003" s="6"/>
      <c r="J1003" s="6"/>
      <c r="K1003" s="6"/>
      <c r="L1003" s="6"/>
      <c r="M1003" s="6"/>
      <c r="N1003" s="6"/>
      <c r="O1003" s="6"/>
    </row>
    <row r="1004">
      <c r="B1004" s="368"/>
      <c r="C1004" s="368"/>
      <c r="D1004" s="368"/>
      <c r="H1004" s="6"/>
      <c r="I1004" s="6"/>
      <c r="J1004" s="6"/>
      <c r="K1004" s="6"/>
      <c r="L1004" s="6"/>
      <c r="M1004" s="6"/>
      <c r="N1004" s="6"/>
      <c r="O1004" s="6"/>
    </row>
    <row r="1005">
      <c r="B1005" s="368"/>
      <c r="C1005" s="368"/>
      <c r="D1005" s="368"/>
      <c r="H1005" s="6"/>
      <c r="I1005" s="6"/>
      <c r="J1005" s="6"/>
      <c r="K1005" s="6"/>
      <c r="L1005" s="6"/>
      <c r="M1005" s="6"/>
      <c r="N1005" s="6"/>
      <c r="O1005" s="6"/>
    </row>
    <row r="1006">
      <c r="B1006" s="368"/>
      <c r="C1006" s="368"/>
      <c r="D1006" s="368"/>
      <c r="H1006" s="6"/>
      <c r="I1006" s="6"/>
      <c r="J1006" s="6"/>
      <c r="K1006" s="6"/>
      <c r="L1006" s="6"/>
      <c r="M1006" s="6"/>
      <c r="N1006" s="6"/>
      <c r="O1006" s="6"/>
    </row>
    <row r="1007">
      <c r="B1007" s="368"/>
      <c r="C1007" s="368"/>
      <c r="D1007" s="368"/>
      <c r="H1007" s="6"/>
      <c r="I1007" s="6"/>
      <c r="J1007" s="6"/>
      <c r="K1007" s="6"/>
      <c r="L1007" s="6"/>
      <c r="M1007" s="6"/>
      <c r="N1007" s="6"/>
      <c r="O1007" s="6"/>
    </row>
    <row r="1008">
      <c r="B1008" s="368"/>
      <c r="C1008" s="368"/>
      <c r="D1008" s="368"/>
      <c r="H1008" s="6"/>
      <c r="I1008" s="6"/>
      <c r="J1008" s="6"/>
      <c r="K1008" s="6"/>
      <c r="L1008" s="6"/>
      <c r="M1008" s="6"/>
      <c r="N1008" s="6"/>
      <c r="O1008" s="6"/>
    </row>
    <row r="1009">
      <c r="B1009" s="368"/>
      <c r="C1009" s="368"/>
      <c r="D1009" s="368"/>
      <c r="H1009" s="6"/>
      <c r="I1009" s="6"/>
      <c r="J1009" s="6"/>
      <c r="K1009" s="6"/>
      <c r="L1009" s="6"/>
      <c r="M1009" s="6"/>
      <c r="N1009" s="6"/>
      <c r="O1009" s="6"/>
    </row>
    <row r="1010">
      <c r="B1010" s="368"/>
      <c r="C1010" s="368"/>
      <c r="D1010" s="368"/>
      <c r="H1010" s="6"/>
      <c r="I1010" s="6"/>
      <c r="J1010" s="6"/>
      <c r="K1010" s="6"/>
      <c r="L1010" s="6"/>
      <c r="M1010" s="6"/>
      <c r="N1010" s="6"/>
      <c r="O1010" s="6"/>
    </row>
    <row r="1011">
      <c r="B1011" s="368"/>
      <c r="C1011" s="368"/>
      <c r="D1011" s="368"/>
      <c r="H1011" s="6"/>
      <c r="I1011" s="6"/>
      <c r="J1011" s="6"/>
      <c r="K1011" s="6"/>
      <c r="L1011" s="6"/>
      <c r="M1011" s="6"/>
      <c r="N1011" s="6"/>
      <c r="O1011" s="6"/>
    </row>
    <row r="1012">
      <c r="B1012" s="368"/>
      <c r="C1012" s="368"/>
      <c r="D1012" s="368"/>
      <c r="H1012" s="6"/>
      <c r="I1012" s="6"/>
      <c r="J1012" s="6"/>
      <c r="K1012" s="6"/>
      <c r="L1012" s="6"/>
      <c r="M1012" s="6"/>
      <c r="N1012" s="6"/>
      <c r="O1012" s="6"/>
    </row>
    <row r="1013">
      <c r="B1013" s="368"/>
      <c r="C1013" s="368"/>
      <c r="D1013" s="368"/>
      <c r="H1013" s="6"/>
      <c r="I1013" s="6"/>
      <c r="J1013" s="6"/>
      <c r="K1013" s="6"/>
      <c r="L1013" s="6"/>
      <c r="M1013" s="6"/>
      <c r="N1013" s="6"/>
      <c r="O1013" s="6"/>
    </row>
    <row r="1014">
      <c r="B1014" s="368"/>
      <c r="C1014" s="368"/>
      <c r="D1014" s="368"/>
      <c r="H1014" s="6"/>
      <c r="I1014" s="6"/>
      <c r="J1014" s="6"/>
      <c r="K1014" s="6"/>
      <c r="L1014" s="6"/>
      <c r="M1014" s="6"/>
      <c r="N1014" s="6"/>
      <c r="O1014" s="6"/>
    </row>
    <row r="1015">
      <c r="B1015" s="368"/>
      <c r="C1015" s="368"/>
      <c r="D1015" s="368"/>
      <c r="H1015" s="6"/>
      <c r="I1015" s="6"/>
      <c r="J1015" s="6"/>
      <c r="K1015" s="6"/>
      <c r="L1015" s="6"/>
      <c r="M1015" s="6"/>
      <c r="N1015" s="6"/>
      <c r="O1015" s="6"/>
    </row>
    <row r="1016">
      <c r="B1016" s="368"/>
      <c r="C1016" s="368"/>
      <c r="D1016" s="368"/>
      <c r="H1016" s="6"/>
      <c r="I1016" s="6"/>
      <c r="J1016" s="6"/>
      <c r="K1016" s="6"/>
      <c r="L1016" s="6"/>
      <c r="M1016" s="6"/>
      <c r="N1016" s="6"/>
      <c r="O1016" s="6"/>
    </row>
    <row r="1017">
      <c r="B1017" s="368"/>
      <c r="C1017" s="368"/>
      <c r="D1017" s="368"/>
      <c r="H1017" s="6"/>
      <c r="I1017" s="6"/>
      <c r="J1017" s="6"/>
      <c r="K1017" s="6"/>
      <c r="L1017" s="6"/>
      <c r="M1017" s="6"/>
      <c r="N1017" s="6"/>
      <c r="O1017" s="6"/>
    </row>
    <row r="1018">
      <c r="B1018" s="368"/>
      <c r="C1018" s="368"/>
      <c r="D1018" s="368"/>
      <c r="H1018" s="6"/>
      <c r="I1018" s="6"/>
      <c r="J1018" s="6"/>
      <c r="K1018" s="6"/>
      <c r="L1018" s="6"/>
      <c r="M1018" s="6"/>
      <c r="N1018" s="6"/>
      <c r="O1018" s="6"/>
    </row>
    <row r="1019">
      <c r="B1019" s="368"/>
      <c r="C1019" s="368"/>
      <c r="D1019" s="368"/>
      <c r="H1019" s="6"/>
      <c r="I1019" s="6"/>
      <c r="J1019" s="6"/>
      <c r="K1019" s="6"/>
      <c r="L1019" s="6"/>
      <c r="M1019" s="6"/>
      <c r="N1019" s="6"/>
      <c r="O1019" s="6"/>
    </row>
    <row r="1020">
      <c r="B1020" s="368"/>
      <c r="C1020" s="368"/>
      <c r="D1020" s="368"/>
      <c r="H1020" s="6"/>
      <c r="I1020" s="6"/>
      <c r="J1020" s="6"/>
      <c r="K1020" s="6"/>
      <c r="L1020" s="6"/>
      <c r="M1020" s="6"/>
      <c r="N1020" s="6"/>
      <c r="O1020" s="6"/>
    </row>
  </sheetData>
  <mergeCells count="10">
    <mergeCell ref="C21:D21"/>
    <mergeCell ref="B25:D25"/>
    <mergeCell ref="B28:D28"/>
    <mergeCell ref="B2:D2"/>
    <mergeCell ref="C3:D3"/>
    <mergeCell ref="H3:O3"/>
    <mergeCell ref="P3:Q3"/>
    <mergeCell ref="T3:W3"/>
    <mergeCell ref="C7:D7"/>
    <mergeCell ref="B20:D20"/>
  </mergeCells>
  <hyperlinks>
    <hyperlink r:id="rId1" ref="D5"/>
    <hyperlink r:id="rId2" ref="D6"/>
    <hyperlink r:id="rId3" ref="D9"/>
    <hyperlink r:id="rId4" ref="D10"/>
    <hyperlink r:id="rId5" ref="D11"/>
    <hyperlink r:id="rId6" ref="D12"/>
    <hyperlink r:id="rId7" ref="D13"/>
    <hyperlink r:id="rId8" ref="D14"/>
    <hyperlink r:id="rId9" ref="D15"/>
    <hyperlink r:id="rId10" ref="D16"/>
    <hyperlink r:id="rId11" ref="D17"/>
    <hyperlink r:id="rId12" ref="D18"/>
    <hyperlink r:id="rId13" ref="D19"/>
    <hyperlink r:id="rId14" ref="D23"/>
    <hyperlink r:id="rId15" ref="D24"/>
    <hyperlink r:id="rId16" ref="D26"/>
    <hyperlink r:id="rId17" ref="D27"/>
    <hyperlink r:id="rId18" ref="D30"/>
    <hyperlink r:id="rId19" ref="D31"/>
    <hyperlink r:id="rId20" ref="D32"/>
    <hyperlink r:id="rId21" ref="D33"/>
    <hyperlink r:id="rId22" ref="D34"/>
    <hyperlink r:id="rId23" ref="D35"/>
  </hyperlinks>
  <drawing r:id="rId2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28.0"/>
    <col customWidth="1" min="3" max="3" width="8.75"/>
    <col customWidth="1" min="4" max="4" width="10.5"/>
    <col customWidth="1" min="5" max="5" width="8.75"/>
    <col customWidth="1" min="6" max="6" width="10.5"/>
    <col customWidth="1" min="7" max="7" width="24.5"/>
    <col customWidth="1" min="8" max="26" width="7.63"/>
  </cols>
  <sheetData>
    <row r="1" ht="30.0" customHeight="1">
      <c r="A1" s="405" t="s">
        <v>234</v>
      </c>
      <c r="B1" s="405" t="s">
        <v>235</v>
      </c>
      <c r="C1" s="405" t="s">
        <v>236</v>
      </c>
      <c r="D1" s="405" t="s">
        <v>237</v>
      </c>
      <c r="E1" s="405" t="s">
        <v>238</v>
      </c>
      <c r="F1" s="405" t="s">
        <v>239</v>
      </c>
      <c r="G1" s="405" t="s">
        <v>240</v>
      </c>
      <c r="H1" s="404" t="s">
        <v>241</v>
      </c>
    </row>
    <row r="2" ht="27.75" customHeight="1">
      <c r="A2" s="406" t="s">
        <v>242</v>
      </c>
      <c r="B2" s="407"/>
      <c r="C2" s="407"/>
      <c r="D2" s="407"/>
      <c r="E2" s="407"/>
      <c r="F2" s="407"/>
      <c r="G2" s="408"/>
    </row>
    <row r="3" ht="25.5" customHeight="1">
      <c r="A3" s="409">
        <v>1.0</v>
      </c>
      <c r="B3" s="410" t="s">
        <v>32</v>
      </c>
      <c r="C3" s="411">
        <v>214.0</v>
      </c>
      <c r="D3" s="412" t="s">
        <v>243</v>
      </c>
      <c r="E3" s="413">
        <v>246.0</v>
      </c>
      <c r="F3" s="411" t="s">
        <v>244</v>
      </c>
      <c r="G3" s="414" t="s">
        <v>245</v>
      </c>
      <c r="H3" s="404">
        <v>250.0</v>
      </c>
      <c r="J3" s="415" t="s">
        <v>246</v>
      </c>
    </row>
    <row r="4" ht="25.5" customHeight="1">
      <c r="A4" s="409">
        <v>1.0</v>
      </c>
      <c r="B4" s="410" t="s">
        <v>147</v>
      </c>
      <c r="C4" s="411">
        <v>27.0</v>
      </c>
      <c r="D4" s="412" t="s">
        <v>243</v>
      </c>
      <c r="E4" s="413">
        <v>31.0</v>
      </c>
      <c r="F4" s="411" t="s">
        <v>244</v>
      </c>
      <c r="G4" s="414" t="s">
        <v>247</v>
      </c>
      <c r="H4" s="404">
        <v>60.0</v>
      </c>
      <c r="J4" s="415" t="s">
        <v>246</v>
      </c>
    </row>
    <row r="5" ht="25.5" customHeight="1">
      <c r="A5" s="409">
        <v>1.0</v>
      </c>
      <c r="B5" s="416" t="s">
        <v>248</v>
      </c>
      <c r="C5" s="417">
        <v>34.0</v>
      </c>
      <c r="D5" s="412" t="s">
        <v>243</v>
      </c>
      <c r="E5" s="418">
        <v>40.0</v>
      </c>
      <c r="F5" s="411" t="s">
        <v>244</v>
      </c>
      <c r="G5" s="414" t="s">
        <v>249</v>
      </c>
      <c r="H5" s="404">
        <v>20.0</v>
      </c>
      <c r="J5" s="404" t="s">
        <v>250</v>
      </c>
    </row>
    <row r="6" ht="25.5" customHeight="1">
      <c r="A6" s="409">
        <v>1.0</v>
      </c>
      <c r="B6" s="416" t="s">
        <v>251</v>
      </c>
      <c r="C6" s="417">
        <v>61.0</v>
      </c>
      <c r="D6" s="412" t="s">
        <v>243</v>
      </c>
      <c r="E6" s="418">
        <v>70.0</v>
      </c>
      <c r="F6" s="417" t="s">
        <v>244</v>
      </c>
      <c r="G6" s="414"/>
      <c r="H6" s="404">
        <v>40.0</v>
      </c>
      <c r="J6" s="404" t="s">
        <v>250</v>
      </c>
    </row>
    <row r="7" ht="25.5" customHeight="1">
      <c r="A7" s="409">
        <v>1.0</v>
      </c>
      <c r="B7" s="416" t="s">
        <v>34</v>
      </c>
      <c r="C7" s="411">
        <v>100.0</v>
      </c>
      <c r="D7" s="412" t="s">
        <v>243</v>
      </c>
      <c r="E7" s="413">
        <v>115.0</v>
      </c>
      <c r="F7" s="411" t="s">
        <v>244</v>
      </c>
      <c r="G7" s="414" t="s">
        <v>252</v>
      </c>
      <c r="H7" s="404">
        <v>50.0</v>
      </c>
      <c r="J7" s="415" t="s">
        <v>246</v>
      </c>
    </row>
    <row r="8" ht="25.5" customHeight="1">
      <c r="A8" s="409">
        <v>1.0</v>
      </c>
      <c r="B8" s="419" t="s">
        <v>150</v>
      </c>
      <c r="C8" s="411">
        <v>60.0</v>
      </c>
      <c r="D8" s="412" t="s">
        <v>243</v>
      </c>
      <c r="E8" s="413">
        <v>69.0</v>
      </c>
      <c r="F8" s="411" t="s">
        <v>244</v>
      </c>
      <c r="G8" s="414"/>
      <c r="H8" s="404">
        <v>30.0</v>
      </c>
      <c r="J8" s="415" t="s">
        <v>246</v>
      </c>
    </row>
    <row r="9" ht="25.5" customHeight="1">
      <c r="A9" s="409">
        <v>1.0</v>
      </c>
      <c r="B9" s="419" t="s">
        <v>36</v>
      </c>
      <c r="C9" s="411">
        <v>112.0</v>
      </c>
      <c r="D9" s="412" t="s">
        <v>243</v>
      </c>
      <c r="E9" s="413">
        <v>129.0</v>
      </c>
      <c r="F9" s="411" t="s">
        <v>244</v>
      </c>
      <c r="G9" s="414" t="s">
        <v>253</v>
      </c>
      <c r="H9" s="404">
        <v>60.0</v>
      </c>
      <c r="J9" s="404" t="s">
        <v>250</v>
      </c>
    </row>
    <row r="10" ht="25.5" customHeight="1">
      <c r="A10" s="409">
        <v>1.0</v>
      </c>
      <c r="B10" s="419" t="s">
        <v>151</v>
      </c>
      <c r="C10" s="411">
        <v>61.0</v>
      </c>
      <c r="D10" s="412" t="s">
        <v>243</v>
      </c>
      <c r="E10" s="413">
        <v>70.0</v>
      </c>
      <c r="F10" s="411" t="s">
        <v>244</v>
      </c>
      <c r="G10" s="414"/>
      <c r="H10" s="404">
        <v>40.0</v>
      </c>
      <c r="J10" s="415" t="s">
        <v>246</v>
      </c>
    </row>
    <row r="11" ht="25.5" customHeight="1">
      <c r="A11" s="409">
        <v>1.0</v>
      </c>
      <c r="B11" s="410" t="s">
        <v>37</v>
      </c>
      <c r="C11" s="411">
        <v>41.0</v>
      </c>
      <c r="D11" s="412" t="s">
        <v>243</v>
      </c>
      <c r="E11" s="413">
        <v>47.0</v>
      </c>
      <c r="F11" s="411" t="s">
        <v>244</v>
      </c>
      <c r="G11" s="414" t="s">
        <v>254</v>
      </c>
      <c r="H11" s="404">
        <v>24.0</v>
      </c>
      <c r="J11" s="415" t="s">
        <v>246</v>
      </c>
    </row>
    <row r="12" ht="25.5" customHeight="1">
      <c r="A12" s="409">
        <v>1.0</v>
      </c>
      <c r="B12" s="419" t="s">
        <v>152</v>
      </c>
      <c r="C12" s="411">
        <v>90.0</v>
      </c>
      <c r="D12" s="412" t="s">
        <v>243</v>
      </c>
      <c r="E12" s="413">
        <v>103.0</v>
      </c>
      <c r="F12" s="411" t="s">
        <v>244</v>
      </c>
      <c r="G12" s="414"/>
      <c r="H12" s="404">
        <v>50.0</v>
      </c>
      <c r="J12" s="415" t="s">
        <v>246</v>
      </c>
      <c r="K12" s="404" t="s">
        <v>255</v>
      </c>
    </row>
    <row r="13" ht="25.5" customHeight="1">
      <c r="A13" s="409">
        <v>1.0</v>
      </c>
      <c r="B13" s="419" t="s">
        <v>256</v>
      </c>
      <c r="C13" s="411">
        <v>54.0</v>
      </c>
      <c r="D13" s="412" t="s">
        <v>243</v>
      </c>
      <c r="E13" s="413">
        <v>62.0</v>
      </c>
      <c r="F13" s="411" t="s">
        <v>244</v>
      </c>
      <c r="G13" s="414" t="s">
        <v>257</v>
      </c>
      <c r="H13" s="404">
        <v>35.0</v>
      </c>
      <c r="J13" s="415" t="s">
        <v>246</v>
      </c>
    </row>
    <row r="14" ht="25.5" customHeight="1">
      <c r="A14" s="409">
        <v>1.0</v>
      </c>
      <c r="B14" s="410" t="s">
        <v>154</v>
      </c>
      <c r="C14" s="411">
        <v>45.0</v>
      </c>
      <c r="D14" s="412" t="s">
        <v>243</v>
      </c>
      <c r="E14" s="413">
        <v>52.0</v>
      </c>
      <c r="F14" s="411" t="s">
        <v>244</v>
      </c>
      <c r="G14" s="414"/>
      <c r="H14" s="404">
        <v>30.0</v>
      </c>
      <c r="J14" s="404" t="s">
        <v>250</v>
      </c>
    </row>
    <row r="16" ht="27.75" customHeight="1">
      <c r="A16" s="406" t="s">
        <v>258</v>
      </c>
      <c r="B16" s="407"/>
      <c r="C16" s="407"/>
      <c r="D16" s="407"/>
      <c r="E16" s="407"/>
      <c r="F16" s="407"/>
      <c r="G16" s="408"/>
    </row>
    <row r="17" ht="25.5" customHeight="1">
      <c r="A17" s="409">
        <v>1.0</v>
      </c>
      <c r="B17" s="419" t="s">
        <v>259</v>
      </c>
      <c r="C17" s="411">
        <v>159.0</v>
      </c>
      <c r="D17" s="412" t="s">
        <v>243</v>
      </c>
      <c r="E17" s="413">
        <v>183.0</v>
      </c>
      <c r="F17" s="411" t="s">
        <v>244</v>
      </c>
      <c r="G17" s="414" t="s">
        <v>260</v>
      </c>
      <c r="H17" s="404">
        <v>96.0</v>
      </c>
      <c r="J17" s="415" t="s">
        <v>246</v>
      </c>
    </row>
    <row r="19" ht="27.75" customHeight="1">
      <c r="A19" s="406" t="s">
        <v>261</v>
      </c>
      <c r="B19" s="407"/>
      <c r="C19" s="407"/>
      <c r="D19" s="407"/>
      <c r="E19" s="407"/>
      <c r="F19" s="407"/>
      <c r="G19" s="408"/>
    </row>
    <row r="20" ht="25.5" customHeight="1">
      <c r="A20" s="409">
        <v>1.0</v>
      </c>
      <c r="B20" s="410" t="s">
        <v>262</v>
      </c>
      <c r="C20" s="417">
        <v>500.0</v>
      </c>
      <c r="D20" s="412" t="s">
        <v>263</v>
      </c>
      <c r="E20" s="418">
        <v>550.0</v>
      </c>
      <c r="F20" s="411" t="s">
        <v>264</v>
      </c>
      <c r="G20" s="420" t="s">
        <v>265</v>
      </c>
      <c r="H20" s="404">
        <v>250.0</v>
      </c>
    </row>
    <row r="21" ht="25.5" customHeight="1">
      <c r="A21" s="409">
        <v>1.0</v>
      </c>
      <c r="B21" s="410" t="s">
        <v>266</v>
      </c>
      <c r="C21" s="411">
        <v>500.0</v>
      </c>
      <c r="D21" s="412" t="s">
        <v>263</v>
      </c>
      <c r="E21" s="413">
        <v>550.0</v>
      </c>
      <c r="F21" s="411" t="s">
        <v>267</v>
      </c>
      <c r="G21" s="414"/>
      <c r="H21" s="404">
        <v>270.0</v>
      </c>
    </row>
    <row r="22"/>
    <row r="23" ht="27.75" customHeight="1">
      <c r="A23" s="406" t="s">
        <v>268</v>
      </c>
      <c r="B23" s="407"/>
      <c r="C23" s="407"/>
      <c r="D23" s="407"/>
      <c r="E23" s="407"/>
      <c r="F23" s="407"/>
      <c r="G23" s="408"/>
    </row>
    <row r="24" ht="25.5" customHeight="1">
      <c r="A24" s="421" t="s">
        <v>234</v>
      </c>
      <c r="B24" s="410" t="s">
        <v>269</v>
      </c>
      <c r="C24" s="411">
        <v>675.0</v>
      </c>
      <c r="D24" s="412" t="s">
        <v>263</v>
      </c>
      <c r="E24" s="413">
        <v>743.0</v>
      </c>
      <c r="F24" s="411" t="s">
        <v>267</v>
      </c>
      <c r="G24" s="414" t="s">
        <v>270</v>
      </c>
    </row>
    <row r="25" ht="25.5" customHeight="1">
      <c r="A25" s="421" t="s">
        <v>234</v>
      </c>
      <c r="B25" s="410" t="s">
        <v>271</v>
      </c>
      <c r="C25" s="411">
        <v>225.0</v>
      </c>
      <c r="D25" s="412" t="s">
        <v>263</v>
      </c>
      <c r="E25" s="413">
        <v>248.0</v>
      </c>
      <c r="F25" s="411" t="s">
        <v>267</v>
      </c>
      <c r="G25" s="414"/>
    </row>
    <row r="26" ht="25.5" customHeight="1">
      <c r="A26" s="421" t="s">
        <v>234</v>
      </c>
      <c r="B26" s="410" t="s">
        <v>272</v>
      </c>
      <c r="C26" s="411">
        <v>100.0</v>
      </c>
      <c r="D26" s="412" t="s">
        <v>263</v>
      </c>
      <c r="E26" s="413">
        <v>110.0</v>
      </c>
      <c r="F26" s="411" t="s">
        <v>267</v>
      </c>
      <c r="G26" s="414"/>
    </row>
    <row r="27" ht="25.5" customHeight="1">
      <c r="A27" s="421"/>
      <c r="B27" s="416" t="s">
        <v>273</v>
      </c>
      <c r="C27" s="411"/>
      <c r="D27" s="412"/>
      <c r="E27" s="413"/>
      <c r="F27" s="411"/>
      <c r="G27" s="414"/>
      <c r="J27" s="415" t="s">
        <v>246</v>
      </c>
    </row>
    <row r="28"/>
    <row r="29" ht="27.75" customHeight="1">
      <c r="A29" s="406" t="s">
        <v>274</v>
      </c>
      <c r="B29" s="407"/>
      <c r="C29" s="407"/>
      <c r="D29" s="407"/>
      <c r="E29" s="407"/>
      <c r="F29" s="407"/>
      <c r="G29" s="408"/>
    </row>
    <row r="30" ht="25.5" customHeight="1">
      <c r="A30" s="409">
        <v>1.0</v>
      </c>
      <c r="B30" s="410" t="s">
        <v>275</v>
      </c>
      <c r="C30" s="411">
        <v>175.0</v>
      </c>
      <c r="D30" s="412" t="s">
        <v>263</v>
      </c>
      <c r="E30" s="413">
        <v>193.0</v>
      </c>
      <c r="F30" s="411" t="s">
        <v>267</v>
      </c>
      <c r="G30" s="414" t="s">
        <v>276</v>
      </c>
      <c r="J30" s="415" t="s">
        <v>246</v>
      </c>
    </row>
    <row r="31" ht="25.5" customHeight="1">
      <c r="A31" s="409">
        <v>1.0</v>
      </c>
      <c r="B31" s="410" t="s">
        <v>277</v>
      </c>
      <c r="C31" s="411">
        <v>225.0</v>
      </c>
      <c r="D31" s="412" t="s">
        <v>263</v>
      </c>
      <c r="E31" s="413">
        <v>248.0</v>
      </c>
      <c r="F31" s="411" t="s">
        <v>267</v>
      </c>
      <c r="G31" s="414" t="s">
        <v>278</v>
      </c>
      <c r="J31" s="415" t="s">
        <v>246</v>
      </c>
    </row>
    <row r="32" ht="25.5" customHeight="1">
      <c r="A32" s="409">
        <v>1.0</v>
      </c>
      <c r="B32" s="410" t="s">
        <v>279</v>
      </c>
      <c r="C32" s="411">
        <v>100.0</v>
      </c>
      <c r="D32" s="412" t="s">
        <v>263</v>
      </c>
      <c r="E32" s="413">
        <v>110.0</v>
      </c>
      <c r="F32" s="411" t="s">
        <v>267</v>
      </c>
      <c r="G32" s="414" t="s">
        <v>280</v>
      </c>
      <c r="J32" s="415" t="s">
        <v>246</v>
      </c>
    </row>
    <row r="33"/>
    <row r="34" ht="27.75" customHeight="1">
      <c r="A34" s="406" t="s">
        <v>281</v>
      </c>
      <c r="B34" s="407"/>
      <c r="C34" s="407"/>
      <c r="D34" s="407"/>
      <c r="E34" s="407"/>
      <c r="F34" s="407"/>
      <c r="G34" s="408"/>
    </row>
    <row r="35" ht="25.5" customHeight="1">
      <c r="A35" s="409">
        <v>1.0</v>
      </c>
      <c r="B35" s="410" t="s">
        <v>282</v>
      </c>
      <c r="C35" s="411">
        <v>1000.0</v>
      </c>
      <c r="D35" s="412" t="s">
        <v>263</v>
      </c>
      <c r="E35" s="413">
        <v>1100.0</v>
      </c>
      <c r="F35" s="411" t="s">
        <v>267</v>
      </c>
      <c r="G35" s="414" t="s">
        <v>283</v>
      </c>
    </row>
    <row r="36" ht="25.5" customHeight="1">
      <c r="A36" s="409">
        <v>1.0</v>
      </c>
      <c r="B36" s="410" t="s">
        <v>284</v>
      </c>
      <c r="C36" s="411">
        <v>500.0</v>
      </c>
      <c r="D36" s="412" t="s">
        <v>263</v>
      </c>
      <c r="E36" s="413">
        <v>550.0</v>
      </c>
      <c r="F36" s="411" t="s">
        <v>267</v>
      </c>
      <c r="G36" s="414" t="s">
        <v>285</v>
      </c>
    </row>
    <row r="37" ht="25.5" customHeight="1">
      <c r="A37" s="409">
        <v>1.0</v>
      </c>
      <c r="B37" s="410" t="s">
        <v>286</v>
      </c>
      <c r="C37" s="411">
        <v>500.0</v>
      </c>
      <c r="D37" s="412" t="s">
        <v>263</v>
      </c>
      <c r="E37" s="413">
        <v>550.0</v>
      </c>
      <c r="F37" s="411" t="s">
        <v>267</v>
      </c>
      <c r="G37" s="414" t="s">
        <v>287</v>
      </c>
    </row>
    <row r="38"/>
    <row r="39" ht="27.75" customHeight="1">
      <c r="A39" s="406" t="s">
        <v>288</v>
      </c>
      <c r="B39" s="407"/>
      <c r="C39" s="407"/>
      <c r="D39" s="407"/>
      <c r="E39" s="407"/>
      <c r="F39" s="407"/>
      <c r="G39" s="408"/>
    </row>
    <row r="40" ht="25.5" customHeight="1">
      <c r="A40" s="409">
        <v>1.0</v>
      </c>
      <c r="B40" s="410" t="s">
        <v>289</v>
      </c>
      <c r="C40" s="411">
        <v>40.0</v>
      </c>
      <c r="D40" s="412" t="s">
        <v>263</v>
      </c>
      <c r="E40" s="418">
        <v>46.0</v>
      </c>
      <c r="F40" s="411" t="s">
        <v>267</v>
      </c>
      <c r="G40" s="414" t="s">
        <v>290</v>
      </c>
      <c r="J40" s="415" t="s">
        <v>246</v>
      </c>
    </row>
    <row r="41" ht="25.5" customHeight="1">
      <c r="A41" s="409">
        <v>1.0</v>
      </c>
      <c r="B41" s="410" t="s">
        <v>291</v>
      </c>
      <c r="C41" s="411">
        <v>3.0</v>
      </c>
      <c r="D41" s="412" t="s">
        <v>263</v>
      </c>
      <c r="E41" s="413">
        <v>3.0</v>
      </c>
      <c r="F41" s="411" t="s">
        <v>292</v>
      </c>
      <c r="G41" s="414"/>
      <c r="J41" s="415" t="s">
        <v>246</v>
      </c>
    </row>
    <row r="42"/>
    <row r="43" ht="27.75" customHeight="1">
      <c r="A43" s="406" t="s">
        <v>293</v>
      </c>
      <c r="B43" s="407"/>
      <c r="C43" s="407"/>
      <c r="D43" s="407"/>
      <c r="E43" s="407"/>
      <c r="F43" s="407"/>
      <c r="G43" s="408"/>
    </row>
    <row r="44" ht="25.5" customHeight="1">
      <c r="A44" s="409">
        <v>1.0</v>
      </c>
      <c r="B44" s="410" t="s">
        <v>294</v>
      </c>
      <c r="C44" s="411">
        <v>7.0</v>
      </c>
      <c r="D44" s="412" t="s">
        <v>295</v>
      </c>
      <c r="E44" s="413">
        <v>7.0</v>
      </c>
      <c r="F44" s="411" t="s">
        <v>267</v>
      </c>
      <c r="G44" s="414" t="s">
        <v>296</v>
      </c>
      <c r="J44" s="415" t="s">
        <v>246</v>
      </c>
    </row>
    <row r="45" ht="25.5" customHeight="1">
      <c r="A45" s="409">
        <v>1.0</v>
      </c>
      <c r="B45" s="410" t="s">
        <v>297</v>
      </c>
      <c r="C45" s="411">
        <v>5.0</v>
      </c>
      <c r="D45" s="412" t="s">
        <v>295</v>
      </c>
      <c r="E45" s="413">
        <v>5.0</v>
      </c>
      <c r="F45" s="411" t="s">
        <v>267</v>
      </c>
      <c r="G45" s="414" t="s">
        <v>298</v>
      </c>
      <c r="J45" s="415" t="s">
        <v>246</v>
      </c>
    </row>
    <row r="46"/>
    <row r="47" ht="27.75" customHeight="1">
      <c r="A47" s="406" t="s">
        <v>299</v>
      </c>
      <c r="B47" s="407"/>
      <c r="C47" s="407"/>
      <c r="D47" s="407"/>
      <c r="E47" s="407"/>
      <c r="F47" s="407"/>
      <c r="G47" s="408"/>
    </row>
    <row r="48" ht="25.5" customHeight="1">
      <c r="A48" s="409">
        <v>1.0</v>
      </c>
      <c r="B48" s="410" t="s">
        <v>300</v>
      </c>
      <c r="C48" s="411">
        <v>1.0</v>
      </c>
      <c r="D48" s="412" t="s">
        <v>295</v>
      </c>
      <c r="E48" s="413">
        <v>1.0</v>
      </c>
      <c r="F48" s="411" t="s">
        <v>267</v>
      </c>
      <c r="G48" s="414" t="s">
        <v>301</v>
      </c>
      <c r="J48" s="415" t="s">
        <v>246</v>
      </c>
    </row>
    <row r="49" ht="25.5" customHeight="1">
      <c r="A49" s="409">
        <v>1.0</v>
      </c>
      <c r="B49" s="410" t="s">
        <v>302</v>
      </c>
      <c r="C49" s="411">
        <v>1.0</v>
      </c>
      <c r="D49" s="412" t="s">
        <v>295</v>
      </c>
      <c r="E49" s="413">
        <v>1.0</v>
      </c>
      <c r="F49" s="411" t="s">
        <v>267</v>
      </c>
      <c r="G49" s="414"/>
      <c r="J49" s="415" t="s">
        <v>246</v>
      </c>
    </row>
    <row r="50" ht="25.5" customHeight="1">
      <c r="A50" s="409">
        <v>1.0</v>
      </c>
      <c r="B50" s="410" t="s">
        <v>303</v>
      </c>
      <c r="C50" s="411">
        <v>3.0</v>
      </c>
      <c r="D50" s="412" t="s">
        <v>295</v>
      </c>
      <c r="E50" s="413">
        <v>3.0</v>
      </c>
      <c r="F50" s="411" t="s">
        <v>267</v>
      </c>
      <c r="G50" s="414"/>
      <c r="J50" s="415" t="s">
        <v>246</v>
      </c>
    </row>
    <row r="51" ht="25.5" customHeight="1">
      <c r="A51" s="409">
        <v>1.0</v>
      </c>
      <c r="B51" s="410" t="s">
        <v>304</v>
      </c>
      <c r="C51" s="411">
        <v>2.0</v>
      </c>
      <c r="D51" s="412" t="s">
        <v>295</v>
      </c>
      <c r="E51" s="413">
        <v>2.0</v>
      </c>
      <c r="F51" s="411" t="s">
        <v>267</v>
      </c>
      <c r="G51" s="414"/>
    </row>
    <row r="52" ht="25.5" customHeight="1">
      <c r="A52" s="409">
        <v>1.0</v>
      </c>
      <c r="B52" s="410" t="s">
        <v>305</v>
      </c>
      <c r="C52" s="411">
        <v>1.0</v>
      </c>
      <c r="D52" s="412" t="s">
        <v>295</v>
      </c>
      <c r="E52" s="413">
        <v>1.0</v>
      </c>
      <c r="F52" s="411" t="s">
        <v>267</v>
      </c>
      <c r="G52" s="414" t="s">
        <v>306</v>
      </c>
      <c r="J52" s="415" t="s">
        <v>246</v>
      </c>
    </row>
    <row r="53" ht="25.5" customHeight="1">
      <c r="A53" s="409">
        <v>1.0</v>
      </c>
      <c r="B53" s="410" t="s">
        <v>307</v>
      </c>
      <c r="C53" s="411">
        <v>2.0</v>
      </c>
      <c r="D53" s="412" t="s">
        <v>295</v>
      </c>
      <c r="E53" s="413">
        <v>2.0</v>
      </c>
      <c r="F53" s="411" t="s">
        <v>267</v>
      </c>
      <c r="G53" s="414"/>
      <c r="J53" s="415" t="s">
        <v>246</v>
      </c>
    </row>
    <row r="54"/>
    <row r="55" ht="27.75" customHeight="1">
      <c r="A55" s="406" t="s">
        <v>308</v>
      </c>
      <c r="B55" s="407"/>
      <c r="C55" s="407"/>
      <c r="D55" s="407"/>
      <c r="E55" s="407"/>
      <c r="F55" s="407"/>
      <c r="G55" s="408"/>
    </row>
    <row r="56">
      <c r="B56" s="422" t="s">
        <v>309</v>
      </c>
      <c r="C56" s="410" t="s">
        <v>310</v>
      </c>
    </row>
    <row r="57">
      <c r="B57" s="422" t="s">
        <v>311</v>
      </c>
      <c r="C57" s="410" t="s">
        <v>312</v>
      </c>
    </row>
    <row r="58">
      <c r="B58" s="422" t="s">
        <v>313</v>
      </c>
      <c r="C58" s="410" t="s">
        <v>314</v>
      </c>
    </row>
    <row r="59">
      <c r="B59" s="422" t="s">
        <v>315</v>
      </c>
      <c r="C59" s="410" t="s">
        <v>316</v>
      </c>
    </row>
    <row r="60">
      <c r="B60" s="422" t="s">
        <v>317</v>
      </c>
      <c r="C60" s="410" t="s">
        <v>318</v>
      </c>
    </row>
    <row r="61">
      <c r="B61" s="422" t="s">
        <v>319</v>
      </c>
      <c r="C61" s="410" t="s">
        <v>320</v>
      </c>
    </row>
    <row r="62">
      <c r="B62" s="422" t="s">
        <v>321</v>
      </c>
      <c r="C62" s="410" t="s">
        <v>322</v>
      </c>
    </row>
    <row r="63">
      <c r="B63" s="422" t="s">
        <v>323</v>
      </c>
      <c r="C63" s="410" t="s">
        <v>324</v>
      </c>
    </row>
    <row r="64">
      <c r="B64" s="422" t="s">
        <v>325</v>
      </c>
      <c r="C64" s="410" t="s">
        <v>326</v>
      </c>
    </row>
    <row r="65">
      <c r="B65" s="422" t="s">
        <v>327</v>
      </c>
      <c r="C65" s="410" t="s">
        <v>328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mergeCells count="20">
    <mergeCell ref="A2:G2"/>
    <mergeCell ref="A16:G16"/>
    <mergeCell ref="A19:G19"/>
    <mergeCell ref="A23:G23"/>
    <mergeCell ref="A29:G29"/>
    <mergeCell ref="A34:G34"/>
    <mergeCell ref="A39:G39"/>
    <mergeCell ref="C60:G60"/>
    <mergeCell ref="C61:G61"/>
    <mergeCell ref="C62:G62"/>
    <mergeCell ref="C63:G63"/>
    <mergeCell ref="C64:G64"/>
    <mergeCell ref="C65:G65"/>
    <mergeCell ref="A43:G43"/>
    <mergeCell ref="A47:G47"/>
    <mergeCell ref="A55:G55"/>
    <mergeCell ref="C56:G56"/>
    <mergeCell ref="C57:G57"/>
    <mergeCell ref="C58:G58"/>
    <mergeCell ref="C59:G59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2.25"/>
    <col customWidth="1" min="2" max="2" width="14.0"/>
    <col customWidth="1" min="3" max="3" width="7.0"/>
    <col customWidth="1" min="4" max="4" width="7.88"/>
    <col customWidth="1" min="5" max="5" width="8.75"/>
    <col customWidth="1" min="6" max="6" width="9.63"/>
    <col customWidth="1" min="7" max="7" width="7.0"/>
    <col customWidth="1" min="8" max="8" width="7.88"/>
    <col customWidth="1" min="9" max="9" width="8.75"/>
    <col customWidth="1" min="10" max="10" width="9.63"/>
    <col customWidth="1" min="11" max="11" width="7.0"/>
    <col customWidth="1" min="12" max="12" width="7.88"/>
    <col customWidth="1" min="13" max="13" width="8.75"/>
    <col customWidth="1" min="14" max="14" width="9.63"/>
    <col customWidth="1" min="15" max="15" width="7.0"/>
    <col customWidth="1" min="16" max="16" width="7.88"/>
    <col customWidth="1" min="17" max="17" width="8.75"/>
    <col customWidth="1" min="18" max="18" width="9.63"/>
    <col customWidth="1" min="19" max="19" width="7.0"/>
    <col customWidth="1" min="20" max="20" width="7.88"/>
    <col customWidth="1" min="21" max="21" width="8.75"/>
    <col customWidth="1" min="22" max="22" width="9.63"/>
    <col customWidth="1" min="23" max="26" width="7.63"/>
  </cols>
  <sheetData>
    <row r="1" ht="30.0" customHeight="1">
      <c r="A1" s="423" t="s">
        <v>329</v>
      </c>
      <c r="B1" s="423" t="s">
        <v>146</v>
      </c>
      <c r="C1" s="424" t="s">
        <v>330</v>
      </c>
      <c r="D1" s="407"/>
      <c r="E1" s="407"/>
      <c r="F1" s="408"/>
      <c r="G1" s="425" t="s">
        <v>331</v>
      </c>
      <c r="H1" s="426"/>
      <c r="I1" s="426"/>
      <c r="J1" s="427"/>
      <c r="K1" s="428" t="s">
        <v>332</v>
      </c>
      <c r="L1" s="426"/>
      <c r="M1" s="426"/>
      <c r="N1" s="427"/>
      <c r="O1" s="428" t="s">
        <v>333</v>
      </c>
      <c r="P1" s="426"/>
      <c r="Q1" s="426"/>
      <c r="R1" s="429"/>
      <c r="S1" s="430" t="s">
        <v>334</v>
      </c>
      <c r="T1" s="407"/>
      <c r="U1" s="407"/>
      <c r="V1" s="408"/>
    </row>
    <row r="2" ht="24.75" customHeight="1">
      <c r="A2" s="431"/>
      <c r="B2" s="431"/>
      <c r="C2" s="432" t="s">
        <v>335</v>
      </c>
      <c r="D2" s="432" t="s">
        <v>336</v>
      </c>
      <c r="E2" s="432" t="s">
        <v>337</v>
      </c>
      <c r="F2" s="433" t="s">
        <v>338</v>
      </c>
      <c r="G2" s="434" t="s">
        <v>335</v>
      </c>
      <c r="H2" s="435" t="s">
        <v>336</v>
      </c>
      <c r="I2" s="435" t="s">
        <v>337</v>
      </c>
      <c r="J2" s="436" t="s">
        <v>338</v>
      </c>
      <c r="K2" s="437" t="s">
        <v>335</v>
      </c>
      <c r="L2" s="438" t="s">
        <v>336</v>
      </c>
      <c r="M2" s="438" t="s">
        <v>337</v>
      </c>
      <c r="N2" s="439" t="s">
        <v>338</v>
      </c>
      <c r="O2" s="440" t="s">
        <v>335</v>
      </c>
      <c r="P2" s="441" t="s">
        <v>336</v>
      </c>
      <c r="Q2" s="441" t="s">
        <v>337</v>
      </c>
      <c r="R2" s="442" t="s">
        <v>338</v>
      </c>
      <c r="S2" s="443" t="s">
        <v>335</v>
      </c>
      <c r="T2" s="432" t="s">
        <v>336</v>
      </c>
      <c r="U2" s="432" t="s">
        <v>337</v>
      </c>
      <c r="V2" s="432" t="s">
        <v>338</v>
      </c>
      <c r="W2" s="444"/>
      <c r="X2" s="444"/>
      <c r="Y2" s="444"/>
      <c r="Z2" s="444"/>
    </row>
    <row r="3">
      <c r="A3" s="445" t="s">
        <v>339</v>
      </c>
      <c r="B3" s="446" t="s">
        <v>155</v>
      </c>
      <c r="C3" s="447" t="s">
        <v>340</v>
      </c>
      <c r="D3" s="447" t="s">
        <v>341</v>
      </c>
      <c r="E3" s="447" t="s">
        <v>342</v>
      </c>
      <c r="F3" s="448" t="s">
        <v>343</v>
      </c>
      <c r="G3" s="449" t="s">
        <v>344</v>
      </c>
      <c r="H3" s="447" t="s">
        <v>345</v>
      </c>
      <c r="I3" s="447" t="s">
        <v>346</v>
      </c>
      <c r="J3" s="450" t="s">
        <v>347</v>
      </c>
      <c r="K3" s="451" t="s">
        <v>348</v>
      </c>
      <c r="L3" s="447" t="s">
        <v>349</v>
      </c>
      <c r="M3" s="447" t="s">
        <v>350</v>
      </c>
      <c r="N3" s="452" t="s">
        <v>343</v>
      </c>
      <c r="O3" s="453"/>
      <c r="P3" s="454"/>
      <c r="Q3" s="454"/>
      <c r="R3" s="455"/>
      <c r="S3" s="456"/>
      <c r="T3" s="454"/>
      <c r="U3" s="454"/>
      <c r="V3" s="457"/>
      <c r="W3" s="203"/>
      <c r="X3" s="203"/>
      <c r="Y3" s="203"/>
      <c r="Z3" s="203"/>
    </row>
    <row r="4">
      <c r="A4" s="458"/>
      <c r="B4" s="459" t="s">
        <v>156</v>
      </c>
      <c r="C4" s="191"/>
      <c r="D4" s="191"/>
      <c r="E4" s="191"/>
      <c r="F4" s="460"/>
      <c r="G4" s="461" t="s">
        <v>344</v>
      </c>
      <c r="H4" s="462" t="s">
        <v>345</v>
      </c>
      <c r="I4" s="462" t="s">
        <v>346</v>
      </c>
      <c r="J4" s="463" t="s">
        <v>343</v>
      </c>
      <c r="K4" s="464" t="s">
        <v>348</v>
      </c>
      <c r="L4" s="462" t="s">
        <v>349</v>
      </c>
      <c r="M4" s="462" t="s">
        <v>350</v>
      </c>
      <c r="N4" s="465" t="s">
        <v>347</v>
      </c>
      <c r="O4" s="464" t="s">
        <v>351</v>
      </c>
      <c r="P4" s="462" t="s">
        <v>352</v>
      </c>
      <c r="Q4" s="462" t="s">
        <v>353</v>
      </c>
      <c r="R4" s="466" t="s">
        <v>343</v>
      </c>
      <c r="S4" s="191"/>
      <c r="T4" s="191"/>
      <c r="U4" s="191"/>
      <c r="V4" s="460"/>
      <c r="W4" s="191"/>
      <c r="X4" s="191"/>
      <c r="Y4" s="191"/>
      <c r="Z4" s="191"/>
    </row>
    <row r="5">
      <c r="A5" s="458"/>
      <c r="B5" s="419" t="s">
        <v>110</v>
      </c>
      <c r="C5" s="467" t="s">
        <v>340</v>
      </c>
      <c r="D5" s="467" t="s">
        <v>341</v>
      </c>
      <c r="E5" s="467" t="s">
        <v>342</v>
      </c>
      <c r="F5" s="468" t="s">
        <v>343</v>
      </c>
      <c r="G5" s="469" t="s">
        <v>344</v>
      </c>
      <c r="H5" s="467" t="s">
        <v>345</v>
      </c>
      <c r="I5" s="467" t="s">
        <v>346</v>
      </c>
      <c r="J5" s="465" t="s">
        <v>347</v>
      </c>
      <c r="K5" s="470" t="s">
        <v>348</v>
      </c>
      <c r="L5" s="467" t="s">
        <v>349</v>
      </c>
      <c r="M5" s="467" t="s">
        <v>350</v>
      </c>
      <c r="N5" s="471" t="s">
        <v>343</v>
      </c>
      <c r="O5" s="472"/>
      <c r="P5" s="203"/>
      <c r="Q5" s="203"/>
      <c r="R5" s="473"/>
      <c r="S5" s="203"/>
      <c r="T5" s="203"/>
      <c r="U5" s="203"/>
      <c r="V5" s="474"/>
      <c r="W5" s="203"/>
      <c r="X5" s="203"/>
      <c r="Y5" s="203"/>
      <c r="Z5" s="203"/>
    </row>
    <row r="6">
      <c r="A6" s="458"/>
      <c r="B6" s="459" t="s">
        <v>114</v>
      </c>
      <c r="C6" s="191"/>
      <c r="D6" s="191"/>
      <c r="E6" s="191"/>
      <c r="F6" s="460"/>
      <c r="G6" s="461" t="s">
        <v>344</v>
      </c>
      <c r="H6" s="462" t="s">
        <v>345</v>
      </c>
      <c r="I6" s="462" t="s">
        <v>346</v>
      </c>
      <c r="J6" s="463" t="s">
        <v>343</v>
      </c>
      <c r="K6" s="464" t="s">
        <v>348</v>
      </c>
      <c r="L6" s="462" t="s">
        <v>349</v>
      </c>
      <c r="M6" s="462" t="s">
        <v>350</v>
      </c>
      <c r="N6" s="463" t="s">
        <v>343</v>
      </c>
      <c r="O6" s="464" t="s">
        <v>351</v>
      </c>
      <c r="P6" s="462" t="s">
        <v>352</v>
      </c>
      <c r="Q6" s="462" t="s">
        <v>353</v>
      </c>
      <c r="R6" s="475" t="s">
        <v>347</v>
      </c>
      <c r="S6" s="462" t="s">
        <v>354</v>
      </c>
      <c r="T6" s="462" t="s">
        <v>355</v>
      </c>
      <c r="U6" s="462" t="s">
        <v>356</v>
      </c>
      <c r="V6" s="476" t="s">
        <v>343</v>
      </c>
      <c r="W6" s="191"/>
      <c r="X6" s="191"/>
      <c r="Y6" s="191"/>
      <c r="Z6" s="191"/>
    </row>
    <row r="7">
      <c r="A7" s="458"/>
      <c r="B7" s="419" t="s">
        <v>157</v>
      </c>
      <c r="C7" s="467" t="s">
        <v>340</v>
      </c>
      <c r="D7" s="467" t="s">
        <v>341</v>
      </c>
      <c r="E7" s="467" t="s">
        <v>342</v>
      </c>
      <c r="F7" s="468" t="s">
        <v>343</v>
      </c>
      <c r="G7" s="469" t="s">
        <v>344</v>
      </c>
      <c r="H7" s="467" t="s">
        <v>345</v>
      </c>
      <c r="I7" s="467" t="s">
        <v>346</v>
      </c>
      <c r="J7" s="471" t="s">
        <v>343</v>
      </c>
      <c r="K7" s="470" t="s">
        <v>348</v>
      </c>
      <c r="L7" s="467" t="s">
        <v>349</v>
      </c>
      <c r="M7" s="467" t="s">
        <v>350</v>
      </c>
      <c r="N7" s="465" t="s">
        <v>347</v>
      </c>
      <c r="O7" s="470" t="s">
        <v>351</v>
      </c>
      <c r="P7" s="467" t="s">
        <v>352</v>
      </c>
      <c r="Q7" s="467" t="s">
        <v>353</v>
      </c>
      <c r="R7" s="477" t="s">
        <v>343</v>
      </c>
      <c r="S7" s="203"/>
      <c r="T7" s="203"/>
      <c r="U7" s="203"/>
      <c r="V7" s="474"/>
      <c r="W7" s="203"/>
      <c r="X7" s="203"/>
      <c r="Y7" s="203"/>
      <c r="Z7" s="203"/>
    </row>
    <row r="8">
      <c r="A8" s="458"/>
      <c r="B8" s="459" t="s">
        <v>109</v>
      </c>
      <c r="C8" s="462" t="s">
        <v>340</v>
      </c>
      <c r="D8" s="462" t="s">
        <v>341</v>
      </c>
      <c r="E8" s="462" t="s">
        <v>342</v>
      </c>
      <c r="F8" s="476" t="s">
        <v>343</v>
      </c>
      <c r="G8" s="461" t="s">
        <v>344</v>
      </c>
      <c r="H8" s="462" t="s">
        <v>345</v>
      </c>
      <c r="I8" s="462" t="s">
        <v>346</v>
      </c>
      <c r="J8" s="465" t="s">
        <v>347</v>
      </c>
      <c r="K8" s="464" t="s">
        <v>348</v>
      </c>
      <c r="L8" s="462" t="s">
        <v>349</v>
      </c>
      <c r="M8" s="462" t="s">
        <v>350</v>
      </c>
      <c r="N8" s="463" t="s">
        <v>343</v>
      </c>
      <c r="O8" s="478"/>
      <c r="P8" s="191"/>
      <c r="Q8" s="191"/>
      <c r="R8" s="479"/>
      <c r="S8" s="191"/>
      <c r="T8" s="191"/>
      <c r="U8" s="191"/>
      <c r="V8" s="460"/>
      <c r="W8" s="191"/>
      <c r="X8" s="191"/>
      <c r="Y8" s="191"/>
      <c r="Z8" s="191"/>
    </row>
    <row r="9">
      <c r="A9" s="458"/>
      <c r="B9" s="419" t="s">
        <v>158</v>
      </c>
      <c r="C9" s="467" t="s">
        <v>340</v>
      </c>
      <c r="D9" s="467" t="s">
        <v>341</v>
      </c>
      <c r="E9" s="467" t="s">
        <v>342</v>
      </c>
      <c r="F9" s="468" t="s">
        <v>343</v>
      </c>
      <c r="G9" s="469" t="s">
        <v>344</v>
      </c>
      <c r="H9" s="467" t="s">
        <v>345</v>
      </c>
      <c r="I9" s="467" t="s">
        <v>346</v>
      </c>
      <c r="J9" s="471" t="s">
        <v>343</v>
      </c>
      <c r="K9" s="470" t="s">
        <v>348</v>
      </c>
      <c r="L9" s="467" t="s">
        <v>349</v>
      </c>
      <c r="M9" s="467" t="s">
        <v>350</v>
      </c>
      <c r="N9" s="465" t="s">
        <v>347</v>
      </c>
      <c r="O9" s="470" t="s">
        <v>351</v>
      </c>
      <c r="P9" s="467" t="s">
        <v>352</v>
      </c>
      <c r="Q9" s="467" t="s">
        <v>353</v>
      </c>
      <c r="R9" s="477" t="s">
        <v>343</v>
      </c>
      <c r="S9" s="203"/>
      <c r="T9" s="203"/>
      <c r="U9" s="203"/>
      <c r="V9" s="474"/>
      <c r="W9" s="203"/>
      <c r="X9" s="203"/>
      <c r="Y9" s="203"/>
      <c r="Z9" s="203"/>
    </row>
    <row r="10">
      <c r="A10" s="458"/>
      <c r="B10" s="459" t="s">
        <v>159</v>
      </c>
      <c r="C10" s="191"/>
      <c r="D10" s="191"/>
      <c r="E10" s="191"/>
      <c r="F10" s="460"/>
      <c r="G10" s="461" t="s">
        <v>344</v>
      </c>
      <c r="H10" s="462" t="s">
        <v>345</v>
      </c>
      <c r="I10" s="462" t="s">
        <v>346</v>
      </c>
      <c r="J10" s="463" t="s">
        <v>343</v>
      </c>
      <c r="K10" s="464" t="s">
        <v>348</v>
      </c>
      <c r="L10" s="462" t="s">
        <v>349</v>
      </c>
      <c r="M10" s="462" t="s">
        <v>350</v>
      </c>
      <c r="N10" s="465" t="s">
        <v>347</v>
      </c>
      <c r="O10" s="464" t="s">
        <v>351</v>
      </c>
      <c r="P10" s="462" t="s">
        <v>352</v>
      </c>
      <c r="Q10" s="462" t="s">
        <v>353</v>
      </c>
      <c r="R10" s="466" t="s">
        <v>343</v>
      </c>
      <c r="S10" s="191"/>
      <c r="T10" s="191"/>
      <c r="U10" s="191"/>
      <c r="V10" s="460"/>
      <c r="W10" s="191"/>
      <c r="X10" s="191"/>
      <c r="Y10" s="191"/>
      <c r="Z10" s="191"/>
    </row>
    <row r="11">
      <c r="A11" s="480"/>
      <c r="B11" s="481" t="s">
        <v>111</v>
      </c>
      <c r="C11" s="482" t="s">
        <v>340</v>
      </c>
      <c r="D11" s="482" t="s">
        <v>341</v>
      </c>
      <c r="E11" s="482" t="s">
        <v>342</v>
      </c>
      <c r="F11" s="483" t="s">
        <v>343</v>
      </c>
      <c r="G11" s="484" t="s">
        <v>344</v>
      </c>
      <c r="H11" s="482" t="s">
        <v>345</v>
      </c>
      <c r="I11" s="482" t="s">
        <v>346</v>
      </c>
      <c r="J11" s="485" t="s">
        <v>347</v>
      </c>
      <c r="K11" s="486" t="s">
        <v>348</v>
      </c>
      <c r="L11" s="482" t="s">
        <v>349</v>
      </c>
      <c r="M11" s="482" t="s">
        <v>350</v>
      </c>
      <c r="N11" s="487" t="s">
        <v>343</v>
      </c>
      <c r="O11" s="488"/>
      <c r="P11" s="489"/>
      <c r="Q11" s="489"/>
      <c r="R11" s="490"/>
      <c r="S11" s="489"/>
      <c r="T11" s="489"/>
      <c r="U11" s="489"/>
      <c r="V11" s="491"/>
      <c r="W11" s="489"/>
      <c r="X11" s="489"/>
      <c r="Y11" s="489"/>
      <c r="Z11" s="489"/>
    </row>
    <row r="12">
      <c r="A12" s="492" t="s">
        <v>357</v>
      </c>
      <c r="B12" s="493" t="s">
        <v>160</v>
      </c>
      <c r="C12" s="494" t="s">
        <v>340</v>
      </c>
      <c r="D12" s="494" t="s">
        <v>341</v>
      </c>
      <c r="E12" s="494" t="s">
        <v>342</v>
      </c>
      <c r="F12" s="495" t="s">
        <v>343</v>
      </c>
      <c r="G12" s="496" t="s">
        <v>344</v>
      </c>
      <c r="H12" s="494" t="s">
        <v>345</v>
      </c>
      <c r="I12" s="494" t="s">
        <v>346</v>
      </c>
      <c r="J12" s="450" t="s">
        <v>347</v>
      </c>
      <c r="K12" s="497" t="s">
        <v>348</v>
      </c>
      <c r="L12" s="494" t="s">
        <v>349</v>
      </c>
      <c r="M12" s="494" t="s">
        <v>350</v>
      </c>
      <c r="N12" s="498" t="s">
        <v>343</v>
      </c>
      <c r="O12" s="499"/>
      <c r="P12" s="500"/>
      <c r="Q12" s="500"/>
      <c r="R12" s="501"/>
      <c r="S12" s="502"/>
      <c r="T12" s="500"/>
      <c r="U12" s="500"/>
      <c r="V12" s="503"/>
      <c r="W12" s="191"/>
      <c r="X12" s="191"/>
      <c r="Y12" s="191"/>
      <c r="Z12" s="191"/>
    </row>
    <row r="13">
      <c r="A13" s="480"/>
      <c r="B13" s="481" t="s">
        <v>161</v>
      </c>
      <c r="C13" s="482" t="s">
        <v>340</v>
      </c>
      <c r="D13" s="482" t="s">
        <v>341</v>
      </c>
      <c r="E13" s="482" t="s">
        <v>342</v>
      </c>
      <c r="F13" s="504" t="s">
        <v>347</v>
      </c>
      <c r="G13" s="484" t="s">
        <v>344</v>
      </c>
      <c r="H13" s="482" t="s">
        <v>345</v>
      </c>
      <c r="I13" s="482" t="s">
        <v>346</v>
      </c>
      <c r="J13" s="487" t="s">
        <v>343</v>
      </c>
      <c r="K13" s="488"/>
      <c r="L13" s="489"/>
      <c r="M13" s="489"/>
      <c r="N13" s="505"/>
      <c r="O13" s="488"/>
      <c r="P13" s="489"/>
      <c r="Q13" s="489"/>
      <c r="R13" s="490"/>
      <c r="S13" s="489"/>
      <c r="T13" s="489"/>
      <c r="U13" s="489"/>
      <c r="V13" s="491"/>
      <c r="W13" s="489"/>
      <c r="X13" s="489"/>
      <c r="Y13" s="489"/>
      <c r="Z13" s="489"/>
    </row>
    <row r="14">
      <c r="A14" s="506" t="s">
        <v>358</v>
      </c>
      <c r="B14" s="507" t="s">
        <v>162</v>
      </c>
      <c r="C14" s="508" t="s">
        <v>340</v>
      </c>
      <c r="D14" s="508" t="s">
        <v>341</v>
      </c>
      <c r="E14" s="508" t="s">
        <v>342</v>
      </c>
      <c r="F14" s="509" t="s">
        <v>343</v>
      </c>
      <c r="G14" s="510" t="s">
        <v>344</v>
      </c>
      <c r="H14" s="508" t="s">
        <v>345</v>
      </c>
      <c r="I14" s="508" t="s">
        <v>346</v>
      </c>
      <c r="J14" s="511" t="s">
        <v>347</v>
      </c>
      <c r="K14" s="512" t="s">
        <v>348</v>
      </c>
      <c r="L14" s="508" t="s">
        <v>349</v>
      </c>
      <c r="M14" s="508" t="s">
        <v>350</v>
      </c>
      <c r="N14" s="513" t="s">
        <v>343</v>
      </c>
      <c r="O14" s="514"/>
      <c r="P14" s="515"/>
      <c r="Q14" s="515"/>
      <c r="R14" s="516"/>
      <c r="S14" s="517"/>
      <c r="T14" s="515"/>
      <c r="U14" s="515"/>
      <c r="V14" s="518"/>
      <c r="W14" s="519"/>
      <c r="X14" s="519"/>
      <c r="Y14" s="519"/>
      <c r="Z14" s="519"/>
    </row>
    <row r="15">
      <c r="A15" s="520" t="s">
        <v>359</v>
      </c>
      <c r="B15" s="521"/>
      <c r="C15" s="522" t="s">
        <v>340</v>
      </c>
      <c r="D15" s="522" t="s">
        <v>341</v>
      </c>
      <c r="E15" s="522" t="s">
        <v>342</v>
      </c>
      <c r="F15" s="523" t="s">
        <v>343</v>
      </c>
      <c r="G15" s="524" t="s">
        <v>344</v>
      </c>
      <c r="H15" s="522" t="s">
        <v>345</v>
      </c>
      <c r="I15" s="522" t="s">
        <v>346</v>
      </c>
      <c r="J15" s="511" t="s">
        <v>347</v>
      </c>
      <c r="K15" s="525" t="s">
        <v>348</v>
      </c>
      <c r="L15" s="522" t="s">
        <v>349</v>
      </c>
      <c r="M15" s="522" t="s">
        <v>350</v>
      </c>
      <c r="N15" s="526" t="s">
        <v>343</v>
      </c>
      <c r="O15" s="527"/>
      <c r="P15" s="528"/>
      <c r="Q15" s="528"/>
      <c r="R15" s="529"/>
      <c r="S15" s="530"/>
      <c r="T15" s="528"/>
      <c r="U15" s="528"/>
      <c r="V15" s="531"/>
      <c r="W15" s="489"/>
      <c r="X15" s="489"/>
      <c r="Y15" s="489"/>
      <c r="Z15" s="489"/>
    </row>
    <row r="16">
      <c r="A16" s="492" t="s">
        <v>360</v>
      </c>
      <c r="B16" s="493" t="s">
        <v>163</v>
      </c>
      <c r="C16" s="500"/>
      <c r="D16" s="500"/>
      <c r="E16" s="500"/>
      <c r="F16" s="532"/>
      <c r="G16" s="496" t="s">
        <v>344</v>
      </c>
      <c r="H16" s="494" t="s">
        <v>345</v>
      </c>
      <c r="I16" s="494" t="s">
        <v>346</v>
      </c>
      <c r="J16" s="498" t="s">
        <v>343</v>
      </c>
      <c r="K16" s="497" t="s">
        <v>348</v>
      </c>
      <c r="L16" s="494" t="s">
        <v>349</v>
      </c>
      <c r="M16" s="494" t="s">
        <v>350</v>
      </c>
      <c r="N16" s="450" t="s">
        <v>347</v>
      </c>
      <c r="O16" s="497" t="s">
        <v>351</v>
      </c>
      <c r="P16" s="494" t="s">
        <v>352</v>
      </c>
      <c r="Q16" s="494" t="s">
        <v>353</v>
      </c>
      <c r="R16" s="533" t="s">
        <v>343</v>
      </c>
      <c r="S16" s="502"/>
      <c r="T16" s="500"/>
      <c r="U16" s="500"/>
      <c r="V16" s="503"/>
      <c r="W16" s="191"/>
      <c r="X16" s="191"/>
      <c r="Y16" s="191"/>
      <c r="Z16" s="191"/>
    </row>
    <row r="17">
      <c r="A17" s="458"/>
      <c r="B17" s="419" t="s">
        <v>164</v>
      </c>
      <c r="C17" s="467" t="s">
        <v>340</v>
      </c>
      <c r="D17" s="467" t="s">
        <v>341</v>
      </c>
      <c r="E17" s="467" t="s">
        <v>342</v>
      </c>
      <c r="F17" s="468" t="s">
        <v>343</v>
      </c>
      <c r="G17" s="469" t="s">
        <v>344</v>
      </c>
      <c r="H17" s="467" t="s">
        <v>345</v>
      </c>
      <c r="I17" s="467" t="s">
        <v>346</v>
      </c>
      <c r="J17" s="471" t="s">
        <v>343</v>
      </c>
      <c r="K17" s="470" t="s">
        <v>348</v>
      </c>
      <c r="L17" s="467" t="s">
        <v>349</v>
      </c>
      <c r="M17" s="467" t="s">
        <v>350</v>
      </c>
      <c r="N17" s="465" t="s">
        <v>347</v>
      </c>
      <c r="O17" s="470" t="s">
        <v>351</v>
      </c>
      <c r="P17" s="467" t="s">
        <v>352</v>
      </c>
      <c r="Q17" s="467" t="s">
        <v>353</v>
      </c>
      <c r="R17" s="477" t="s">
        <v>343</v>
      </c>
      <c r="S17" s="203"/>
      <c r="T17" s="203"/>
      <c r="U17" s="203"/>
      <c r="V17" s="474"/>
      <c r="W17" s="203"/>
      <c r="X17" s="203"/>
      <c r="Y17" s="203"/>
      <c r="Z17" s="203"/>
    </row>
    <row r="18">
      <c r="A18" s="458"/>
      <c r="B18" s="459" t="s">
        <v>165</v>
      </c>
      <c r="C18" s="462" t="s">
        <v>340</v>
      </c>
      <c r="D18" s="462" t="s">
        <v>341</v>
      </c>
      <c r="E18" s="462" t="s">
        <v>342</v>
      </c>
      <c r="F18" s="476" t="s">
        <v>343</v>
      </c>
      <c r="G18" s="461" t="s">
        <v>344</v>
      </c>
      <c r="H18" s="462" t="s">
        <v>345</v>
      </c>
      <c r="I18" s="462" t="s">
        <v>346</v>
      </c>
      <c r="J18" s="465" t="s">
        <v>347</v>
      </c>
      <c r="K18" s="464" t="s">
        <v>348</v>
      </c>
      <c r="L18" s="462" t="s">
        <v>349</v>
      </c>
      <c r="M18" s="462" t="s">
        <v>350</v>
      </c>
      <c r="N18" s="463" t="s">
        <v>343</v>
      </c>
      <c r="O18" s="478"/>
      <c r="P18" s="191"/>
      <c r="Q18" s="191"/>
      <c r="R18" s="479"/>
      <c r="S18" s="191"/>
      <c r="T18" s="191"/>
      <c r="U18" s="191"/>
      <c r="V18" s="460"/>
      <c r="W18" s="191"/>
      <c r="X18" s="191"/>
      <c r="Y18" s="191"/>
      <c r="Z18" s="191"/>
    </row>
    <row r="19">
      <c r="A19" s="480"/>
      <c r="B19" s="481" t="s">
        <v>166</v>
      </c>
      <c r="C19" s="489"/>
      <c r="D19" s="489"/>
      <c r="E19" s="489"/>
      <c r="F19" s="491"/>
      <c r="G19" s="484" t="s">
        <v>344</v>
      </c>
      <c r="H19" s="482" t="s">
        <v>345</v>
      </c>
      <c r="I19" s="482" t="s">
        <v>346</v>
      </c>
      <c r="J19" s="487" t="s">
        <v>343</v>
      </c>
      <c r="K19" s="486" t="s">
        <v>348</v>
      </c>
      <c r="L19" s="482" t="s">
        <v>349</v>
      </c>
      <c r="M19" s="482" t="s">
        <v>350</v>
      </c>
      <c r="N19" s="487" t="s">
        <v>343</v>
      </c>
      <c r="O19" s="486" t="s">
        <v>351</v>
      </c>
      <c r="P19" s="482" t="s">
        <v>352</v>
      </c>
      <c r="Q19" s="482" t="s">
        <v>353</v>
      </c>
      <c r="R19" s="534" t="s">
        <v>347</v>
      </c>
      <c r="S19" s="482" t="s">
        <v>354</v>
      </c>
      <c r="T19" s="482" t="s">
        <v>355</v>
      </c>
      <c r="U19" s="482" t="s">
        <v>356</v>
      </c>
      <c r="V19" s="483" t="s">
        <v>343</v>
      </c>
      <c r="W19" s="489"/>
      <c r="X19" s="489"/>
      <c r="Y19" s="489"/>
      <c r="Z19" s="489"/>
    </row>
    <row r="20">
      <c r="A20" s="506" t="s">
        <v>361</v>
      </c>
      <c r="B20" s="507" t="s">
        <v>167</v>
      </c>
      <c r="C20" s="515"/>
      <c r="D20" s="515"/>
      <c r="E20" s="515"/>
      <c r="F20" s="535"/>
      <c r="G20" s="536"/>
      <c r="H20" s="515"/>
      <c r="I20" s="515"/>
      <c r="J20" s="537"/>
      <c r="K20" s="512" t="s">
        <v>348</v>
      </c>
      <c r="L20" s="508" t="s">
        <v>349</v>
      </c>
      <c r="M20" s="508" t="s">
        <v>350</v>
      </c>
      <c r="N20" s="513" t="s">
        <v>343</v>
      </c>
      <c r="O20" s="512" t="s">
        <v>351</v>
      </c>
      <c r="P20" s="508" t="s">
        <v>352</v>
      </c>
      <c r="Q20" s="508" t="s">
        <v>353</v>
      </c>
      <c r="R20" s="538" t="s">
        <v>347</v>
      </c>
      <c r="S20" s="539" t="s">
        <v>354</v>
      </c>
      <c r="T20" s="508" t="s">
        <v>355</v>
      </c>
      <c r="U20" s="508" t="s">
        <v>356</v>
      </c>
      <c r="V20" s="540" t="s">
        <v>343</v>
      </c>
      <c r="W20" s="519"/>
      <c r="X20" s="519"/>
      <c r="Y20" s="519"/>
      <c r="Z20" s="519"/>
    </row>
    <row r="21">
      <c r="A21" s="520" t="s">
        <v>362</v>
      </c>
      <c r="B21" s="521" t="s">
        <v>168</v>
      </c>
      <c r="C21" s="528"/>
      <c r="D21" s="528"/>
      <c r="E21" s="528"/>
      <c r="F21" s="541"/>
      <c r="G21" s="524" t="s">
        <v>344</v>
      </c>
      <c r="H21" s="522" t="s">
        <v>345</v>
      </c>
      <c r="I21" s="522" t="s">
        <v>346</v>
      </c>
      <c r="J21" s="526" t="s">
        <v>343</v>
      </c>
      <c r="K21" s="525" t="s">
        <v>348</v>
      </c>
      <c r="L21" s="522" t="s">
        <v>349</v>
      </c>
      <c r="M21" s="522" t="s">
        <v>350</v>
      </c>
      <c r="N21" s="526" t="s">
        <v>343</v>
      </c>
      <c r="O21" s="525" t="s">
        <v>351</v>
      </c>
      <c r="P21" s="522" t="s">
        <v>352</v>
      </c>
      <c r="Q21" s="522" t="s">
        <v>353</v>
      </c>
      <c r="R21" s="538" t="s">
        <v>347</v>
      </c>
      <c r="S21" s="542" t="s">
        <v>354</v>
      </c>
      <c r="T21" s="522" t="s">
        <v>355</v>
      </c>
      <c r="U21" s="522" t="s">
        <v>356</v>
      </c>
      <c r="V21" s="543" t="s">
        <v>343</v>
      </c>
      <c r="W21" s="489"/>
      <c r="X21" s="489"/>
      <c r="Y21" s="489"/>
      <c r="Z21" s="489"/>
    </row>
    <row r="22">
      <c r="A22" s="492" t="s">
        <v>363</v>
      </c>
      <c r="B22" s="493" t="s">
        <v>169</v>
      </c>
      <c r="C22" s="500"/>
      <c r="D22" s="500"/>
      <c r="E22" s="500"/>
      <c r="F22" s="532"/>
      <c r="G22" s="496" t="s">
        <v>344</v>
      </c>
      <c r="H22" s="494" t="s">
        <v>345</v>
      </c>
      <c r="I22" s="494" t="s">
        <v>346</v>
      </c>
      <c r="J22" s="498" t="s">
        <v>343</v>
      </c>
      <c r="K22" s="497" t="s">
        <v>348</v>
      </c>
      <c r="L22" s="494" t="s">
        <v>349</v>
      </c>
      <c r="M22" s="494" t="s">
        <v>350</v>
      </c>
      <c r="N22" s="450" t="s">
        <v>347</v>
      </c>
      <c r="O22" s="497" t="s">
        <v>351</v>
      </c>
      <c r="P22" s="494" t="s">
        <v>352</v>
      </c>
      <c r="Q22" s="494" t="s">
        <v>353</v>
      </c>
      <c r="R22" s="533" t="s">
        <v>343</v>
      </c>
      <c r="S22" s="502"/>
      <c r="T22" s="500"/>
      <c r="U22" s="500"/>
      <c r="V22" s="503"/>
      <c r="W22" s="191"/>
      <c r="X22" s="191"/>
      <c r="Y22" s="191"/>
      <c r="Z22" s="191"/>
    </row>
    <row r="23">
      <c r="A23" s="480"/>
      <c r="B23" s="481" t="s">
        <v>170</v>
      </c>
      <c r="C23" s="489"/>
      <c r="D23" s="489"/>
      <c r="E23" s="489"/>
      <c r="F23" s="491"/>
      <c r="G23" s="544"/>
      <c r="H23" s="489"/>
      <c r="I23" s="489"/>
      <c r="J23" s="505"/>
      <c r="K23" s="486" t="s">
        <v>348</v>
      </c>
      <c r="L23" s="482" t="s">
        <v>349</v>
      </c>
      <c r="M23" s="482" t="s">
        <v>350</v>
      </c>
      <c r="N23" s="487" t="s">
        <v>343</v>
      </c>
      <c r="O23" s="486" t="s">
        <v>351</v>
      </c>
      <c r="P23" s="482" t="s">
        <v>352</v>
      </c>
      <c r="Q23" s="482" t="s">
        <v>353</v>
      </c>
      <c r="R23" s="534" t="s">
        <v>347</v>
      </c>
      <c r="S23" s="482" t="s">
        <v>354</v>
      </c>
      <c r="T23" s="482" t="s">
        <v>355</v>
      </c>
      <c r="U23" s="482" t="s">
        <v>356</v>
      </c>
      <c r="V23" s="483" t="s">
        <v>343</v>
      </c>
      <c r="W23" s="489"/>
      <c r="X23" s="489"/>
      <c r="Y23" s="489"/>
      <c r="Z23" s="489"/>
    </row>
    <row r="24">
      <c r="A24" s="506" t="s">
        <v>364</v>
      </c>
      <c r="B24" s="507" t="s">
        <v>171</v>
      </c>
      <c r="C24" s="508" t="s">
        <v>340</v>
      </c>
      <c r="D24" s="508" t="s">
        <v>341</v>
      </c>
      <c r="E24" s="508" t="s">
        <v>342</v>
      </c>
      <c r="F24" s="509" t="s">
        <v>343</v>
      </c>
      <c r="G24" s="510" t="s">
        <v>344</v>
      </c>
      <c r="H24" s="508" t="s">
        <v>345</v>
      </c>
      <c r="I24" s="508" t="s">
        <v>346</v>
      </c>
      <c r="J24" s="513" t="s">
        <v>343</v>
      </c>
      <c r="K24" s="512" t="s">
        <v>348</v>
      </c>
      <c r="L24" s="508" t="s">
        <v>349</v>
      </c>
      <c r="M24" s="508" t="s">
        <v>350</v>
      </c>
      <c r="N24" s="511" t="s">
        <v>347</v>
      </c>
      <c r="O24" s="512" t="s">
        <v>351</v>
      </c>
      <c r="P24" s="508" t="s">
        <v>352</v>
      </c>
      <c r="Q24" s="508" t="s">
        <v>353</v>
      </c>
      <c r="R24" s="545" t="s">
        <v>343</v>
      </c>
      <c r="S24" s="539" t="s">
        <v>354</v>
      </c>
      <c r="T24" s="508" t="s">
        <v>355</v>
      </c>
      <c r="U24" s="508" t="s">
        <v>356</v>
      </c>
      <c r="V24" s="540" t="s">
        <v>343</v>
      </c>
      <c r="W24" s="519"/>
      <c r="X24" s="519"/>
      <c r="Y24" s="519"/>
      <c r="Z24" s="519"/>
    </row>
    <row r="25">
      <c r="A25" s="520" t="s">
        <v>190</v>
      </c>
      <c r="B25" s="521" t="s">
        <v>172</v>
      </c>
      <c r="C25" s="528"/>
      <c r="D25" s="528"/>
      <c r="E25" s="528"/>
      <c r="F25" s="541"/>
      <c r="G25" s="524" t="s">
        <v>344</v>
      </c>
      <c r="H25" s="522" t="s">
        <v>345</v>
      </c>
      <c r="I25" s="522" t="s">
        <v>346</v>
      </c>
      <c r="J25" s="526" t="s">
        <v>343</v>
      </c>
      <c r="K25" s="525" t="s">
        <v>348</v>
      </c>
      <c r="L25" s="522" t="s">
        <v>349</v>
      </c>
      <c r="M25" s="522" t="s">
        <v>350</v>
      </c>
      <c r="N25" s="511" t="s">
        <v>347</v>
      </c>
      <c r="O25" s="525" t="s">
        <v>351</v>
      </c>
      <c r="P25" s="522" t="s">
        <v>352</v>
      </c>
      <c r="Q25" s="522" t="s">
        <v>353</v>
      </c>
      <c r="R25" s="546" t="s">
        <v>343</v>
      </c>
      <c r="S25" s="530"/>
      <c r="T25" s="528"/>
      <c r="U25" s="528"/>
      <c r="V25" s="531"/>
      <c r="W25" s="489"/>
      <c r="X25" s="489"/>
      <c r="Y25" s="489"/>
      <c r="Z25" s="489"/>
    </row>
    <row r="26">
      <c r="A26" s="506" t="s">
        <v>191</v>
      </c>
      <c r="B26" s="507"/>
      <c r="C26" s="508" t="s">
        <v>340</v>
      </c>
      <c r="D26" s="508" t="s">
        <v>341</v>
      </c>
      <c r="E26" s="508" t="s">
        <v>342</v>
      </c>
      <c r="F26" s="547" t="s">
        <v>347</v>
      </c>
      <c r="G26" s="510" t="s">
        <v>344</v>
      </c>
      <c r="H26" s="508" t="s">
        <v>345</v>
      </c>
      <c r="I26" s="508" t="s">
        <v>346</v>
      </c>
      <c r="J26" s="513" t="s">
        <v>343</v>
      </c>
      <c r="K26" s="514"/>
      <c r="L26" s="515"/>
      <c r="M26" s="515"/>
      <c r="N26" s="537"/>
      <c r="O26" s="514"/>
      <c r="P26" s="515"/>
      <c r="Q26" s="515"/>
      <c r="R26" s="516"/>
      <c r="S26" s="517"/>
      <c r="T26" s="515"/>
      <c r="U26" s="515"/>
      <c r="V26" s="518"/>
      <c r="W26" s="519"/>
      <c r="X26" s="519"/>
      <c r="Y26" s="519"/>
      <c r="Z26" s="519"/>
    </row>
    <row r="27">
      <c r="A27" s="520" t="s">
        <v>192</v>
      </c>
      <c r="B27" s="521"/>
      <c r="C27" s="528"/>
      <c r="D27" s="528"/>
      <c r="E27" s="528"/>
      <c r="F27" s="541"/>
      <c r="G27" s="524" t="s">
        <v>344</v>
      </c>
      <c r="H27" s="522" t="s">
        <v>345</v>
      </c>
      <c r="I27" s="522" t="s">
        <v>346</v>
      </c>
      <c r="J27" s="526" t="s">
        <v>343</v>
      </c>
      <c r="K27" s="525" t="s">
        <v>348</v>
      </c>
      <c r="L27" s="522" t="s">
        <v>349</v>
      </c>
      <c r="M27" s="522" t="s">
        <v>350</v>
      </c>
      <c r="N27" s="511" t="s">
        <v>347</v>
      </c>
      <c r="O27" s="525" t="s">
        <v>351</v>
      </c>
      <c r="P27" s="522" t="s">
        <v>352</v>
      </c>
      <c r="Q27" s="522" t="s">
        <v>353</v>
      </c>
      <c r="R27" s="546" t="s">
        <v>343</v>
      </c>
      <c r="S27" s="530"/>
      <c r="T27" s="528"/>
      <c r="U27" s="528"/>
      <c r="V27" s="531"/>
      <c r="W27" s="489"/>
      <c r="X27" s="489"/>
      <c r="Y27" s="489"/>
      <c r="Z27" s="489"/>
    </row>
    <row r="28">
      <c r="A28" s="548" t="s">
        <v>193</v>
      </c>
      <c r="B28" s="493" t="s">
        <v>173</v>
      </c>
      <c r="C28" s="494" t="s">
        <v>340</v>
      </c>
      <c r="D28" s="494" t="s">
        <v>341</v>
      </c>
      <c r="E28" s="494" t="s">
        <v>342</v>
      </c>
      <c r="F28" s="549" t="s">
        <v>347</v>
      </c>
      <c r="G28" s="550" t="s">
        <v>344</v>
      </c>
      <c r="H28" s="551" t="s">
        <v>345</v>
      </c>
      <c r="I28" s="551" t="s">
        <v>346</v>
      </c>
      <c r="J28" s="552" t="s">
        <v>343</v>
      </c>
      <c r="K28" s="553"/>
      <c r="L28" s="554"/>
      <c r="M28" s="554"/>
      <c r="N28" s="555"/>
      <c r="O28" s="553"/>
      <c r="P28" s="554"/>
      <c r="Q28" s="554"/>
      <c r="R28" s="556"/>
      <c r="S28" s="502"/>
      <c r="T28" s="500"/>
      <c r="U28" s="500"/>
      <c r="V28" s="503"/>
      <c r="W28" s="191"/>
      <c r="X28" s="191"/>
      <c r="Y28" s="191"/>
      <c r="Z28" s="191"/>
    </row>
    <row r="29">
      <c r="A29" s="557"/>
      <c r="B29" s="557"/>
      <c r="C29" s="557"/>
      <c r="D29" s="557"/>
      <c r="E29" s="557"/>
      <c r="F29" s="557"/>
    </row>
    <row r="30">
      <c r="A30" s="558"/>
      <c r="B30" s="558"/>
      <c r="C30" s="558"/>
      <c r="D30" s="558"/>
      <c r="E30" s="558"/>
      <c r="F30" s="558"/>
    </row>
    <row r="31">
      <c r="A31" s="558"/>
      <c r="B31" s="558"/>
      <c r="C31" s="558"/>
      <c r="D31" s="558"/>
      <c r="E31" s="559"/>
      <c r="F31" s="558"/>
      <c r="H31" s="560"/>
    </row>
    <row r="32"/>
    <row r="33">
      <c r="A33" s="557" t="s">
        <v>365</v>
      </c>
    </row>
    <row r="34">
      <c r="A34" s="561" t="s">
        <v>366</v>
      </c>
    </row>
    <row r="35">
      <c r="A35" s="562" t="s">
        <v>367</v>
      </c>
    </row>
    <row r="36"/>
    <row r="37"/>
    <row r="38"/>
    <row r="39">
      <c r="B39" s="404" t="s">
        <v>368</v>
      </c>
    </row>
    <row r="40">
      <c r="B40" s="404" t="s">
        <v>369</v>
      </c>
      <c r="C40" s="404">
        <v>0.6</v>
      </c>
    </row>
    <row r="41">
      <c r="B41" s="404" t="s">
        <v>370</v>
      </c>
      <c r="C41" s="404">
        <v>1.2</v>
      </c>
    </row>
    <row r="42">
      <c r="C42" s="404">
        <v>1.8</v>
      </c>
    </row>
    <row r="43">
      <c r="C43" s="404">
        <v>2.2</v>
      </c>
    </row>
    <row r="44">
      <c r="B44" s="404" t="s">
        <v>371</v>
      </c>
      <c r="C44" s="404">
        <v>3.0</v>
      </c>
    </row>
    <row r="45">
      <c r="C45" s="404">
        <v>3.5</v>
      </c>
    </row>
    <row r="46">
      <c r="C46" s="404">
        <v>4.0</v>
      </c>
    </row>
    <row r="47">
      <c r="B47" s="404" t="s">
        <v>372</v>
      </c>
      <c r="C47" s="404">
        <v>5.0</v>
      </c>
    </row>
    <row r="48">
      <c r="C48" s="404">
        <v>6.0</v>
      </c>
    </row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7">
    <mergeCell ref="A1:A2"/>
    <mergeCell ref="B1:B2"/>
    <mergeCell ref="C1:F1"/>
    <mergeCell ref="G1:J1"/>
    <mergeCell ref="K1:N1"/>
    <mergeCell ref="O1:R1"/>
    <mergeCell ref="S1:V1"/>
    <mergeCell ref="B41:B43"/>
    <mergeCell ref="B44:B46"/>
    <mergeCell ref="B47:B48"/>
    <mergeCell ref="A3:A11"/>
    <mergeCell ref="A12:A13"/>
    <mergeCell ref="A16:A19"/>
    <mergeCell ref="A22:A23"/>
    <mergeCell ref="A33:F33"/>
    <mergeCell ref="A34:F34"/>
    <mergeCell ref="A35:F35"/>
  </mergeCells>
  <printOptions/>
  <pageMargins bottom="1.0" footer="0.0" header="0.0" left="0.75" right="0.75" top="1.0"/>
  <pageSetup orientation="landscape"/>
  <drawing r:id="rId1"/>
</worksheet>
</file>